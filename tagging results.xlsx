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omments2.xml" ContentType="application/vnd.openxmlformats-officedocument.spreadsheetml.comments+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omments3.xml" ContentType="application/vnd.openxmlformats-officedocument.spreadsheetml.comments+xml"/>
  <Override PartName="/xl/pivotTables/pivotTable10.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ethz-my.sharepoint.com/personal/liujing_ethz_ch/Documents/Literature/Review/framework/"/>
    </mc:Choice>
  </mc:AlternateContent>
  <xr:revisionPtr revIDLastSave="2385" documentId="8_{16A14DDF-85EA-4D9B-A4A2-1E15D1587922}" xr6:coauthVersionLast="47" xr6:coauthVersionMax="47" xr10:uidLastSave="{BB589ACF-4341-460E-A746-6061679A2334}"/>
  <bookViews>
    <workbookView xWindow="-30828" yWindow="-108" windowWidth="30936" windowHeight="16776" activeTab="5" xr2:uid="{00000000-000D-0000-FFFF-FFFF00000000}"/>
  </bookViews>
  <sheets>
    <sheet name="EN articles" sheetId="11" r:id="rId1"/>
    <sheet name="EN article-descriptive" sheetId="12" r:id="rId2"/>
    <sheet name="framework" sheetId="13" r:id="rId3"/>
    <sheet name="MGT articles" sheetId="16" r:id="rId4"/>
    <sheet name="MGT article-descriptive " sheetId="19" r:id="rId5"/>
    <sheet name="review articles" sheetId="17" r:id="rId6"/>
    <sheet name="review descriptive" sheetId="20" r:id="rId7"/>
  </sheets>
  <definedNames>
    <definedName name="_xlnm._FilterDatabase" localSheetId="0" hidden="1">'EN articles'!$A$1:$HM$137</definedName>
    <definedName name="_xlnm._FilterDatabase" localSheetId="3" hidden="1">'MGT articles'!$A$1:$EG$36</definedName>
    <definedName name="_xlchart.v1.0" hidden="1">framework!$B$1</definedName>
    <definedName name="_xlchart.v1.1" hidden="1">framework!$B$2:$B$134</definedName>
  </definedNames>
  <calcPr calcId="191028"/>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35" i="11" l="1"/>
  <c r="AE136" i="11"/>
  <c r="AE137" i="11"/>
  <c r="A130" i="13"/>
  <c r="A131" i="13"/>
  <c r="A132" i="13"/>
  <c r="A133" i="13"/>
  <c r="A134" i="13"/>
  <c r="A120" i="13"/>
  <c r="A121" i="13"/>
  <c r="A122" i="13"/>
  <c r="A123" i="13"/>
  <c r="A124" i="13"/>
  <c r="A125" i="13"/>
  <c r="A126" i="13"/>
  <c r="A127" i="13"/>
  <c r="A128" i="13"/>
  <c r="A129" i="13"/>
  <c r="A105" i="13"/>
  <c r="A106" i="13"/>
  <c r="A107" i="13"/>
  <c r="A108" i="13"/>
  <c r="A109" i="13"/>
  <c r="A110" i="13"/>
  <c r="A111" i="13"/>
  <c r="A112" i="13"/>
  <c r="A113" i="13"/>
  <c r="A114" i="13"/>
  <c r="A115" i="13"/>
  <c r="A116" i="13"/>
  <c r="A117" i="13"/>
  <c r="A118" i="13"/>
  <c r="A119" i="13"/>
  <c r="A72" i="13"/>
  <c r="A73" i="13"/>
  <c r="A74" i="13"/>
  <c r="A75" i="13"/>
  <c r="A76" i="13"/>
  <c r="A77" i="13"/>
  <c r="A78" i="13"/>
  <c r="A79" i="13"/>
  <c r="A80" i="13"/>
  <c r="A81" i="13"/>
  <c r="A82" i="13"/>
  <c r="A83" i="13"/>
  <c r="A84" i="13"/>
  <c r="A85" i="13"/>
  <c r="A86" i="13"/>
  <c r="A87" i="13"/>
  <c r="A88" i="13"/>
  <c r="A89" i="13"/>
  <c r="A90" i="13"/>
  <c r="A91" i="13"/>
  <c r="A92" i="13"/>
  <c r="A93" i="13"/>
  <c r="A94" i="13"/>
  <c r="A95" i="13"/>
  <c r="A96" i="13"/>
  <c r="A97" i="13"/>
  <c r="A98" i="13"/>
  <c r="A99" i="13"/>
  <c r="A100" i="13"/>
  <c r="A101" i="13"/>
  <c r="A102" i="13"/>
  <c r="A103" i="13"/>
  <c r="A104" i="13"/>
  <c r="F25" i="17"/>
  <c r="G36" i="16"/>
  <c r="G35" i="16"/>
  <c r="G34" i="16"/>
  <c r="G33" i="16"/>
  <c r="G32" i="16"/>
  <c r="G31" i="16"/>
  <c r="G30" i="16"/>
  <c r="G29" i="16"/>
  <c r="G28" i="16"/>
  <c r="G27" i="16"/>
  <c r="G26" i="16"/>
  <c r="G25" i="16"/>
  <c r="G24" i="16"/>
  <c r="G23" i="16"/>
  <c r="AK118" i="11" a="1"/>
  <c r="AK118" i="11" s="1"/>
  <c r="C118" i="13" s="1"/>
  <c r="AL118" i="11" a="1"/>
  <c r="AL118" i="11" s="1"/>
  <c r="B118" i="13" s="1"/>
  <c r="AK119" i="11" a="1"/>
  <c r="AK119" i="11" s="1"/>
  <c r="C119" i="13" s="1"/>
  <c r="AL119" i="11" a="1"/>
  <c r="AL119" i="11" s="1"/>
  <c r="B119" i="13" s="1"/>
  <c r="AK120" i="11" a="1"/>
  <c r="AK120" i="11" s="1"/>
  <c r="C120" i="13" s="1"/>
  <c r="AL120" i="11" a="1"/>
  <c r="AL120" i="11" s="1"/>
  <c r="B120" i="13" s="1"/>
  <c r="AK121" i="11" a="1"/>
  <c r="AK121" i="11" s="1"/>
  <c r="C121" i="13" s="1"/>
  <c r="AL121" i="11" a="1"/>
  <c r="AL121" i="11" s="1"/>
  <c r="B121" i="13" s="1"/>
  <c r="AK122" i="11" a="1"/>
  <c r="AK122" i="11" s="1"/>
  <c r="C122" i="13" s="1"/>
  <c r="AL122" i="11" a="1"/>
  <c r="AL122" i="11" s="1"/>
  <c r="B122" i="13" s="1"/>
  <c r="AK123" i="11" a="1"/>
  <c r="AK123" i="11" s="1"/>
  <c r="C123" i="13" s="1"/>
  <c r="AL123" i="11" a="1"/>
  <c r="AL123" i="11" s="1"/>
  <c r="B123" i="13" s="1"/>
  <c r="AK124" i="11" a="1"/>
  <c r="AK124" i="11" s="1"/>
  <c r="C124" i="13" s="1"/>
  <c r="AL124" i="11" a="1"/>
  <c r="AL124" i="11" s="1"/>
  <c r="B124" i="13" s="1"/>
  <c r="AK125" i="11" a="1"/>
  <c r="AK125" i="11" s="1"/>
  <c r="C125" i="13" s="1"/>
  <c r="AL125" i="11" a="1"/>
  <c r="AL125" i="11" s="1"/>
  <c r="B125" i="13" s="1"/>
  <c r="AK126" i="11" a="1"/>
  <c r="AK126" i="11" s="1"/>
  <c r="C126" i="13" s="1"/>
  <c r="AL126" i="11" a="1"/>
  <c r="AL126" i="11" s="1"/>
  <c r="B126" i="13" s="1"/>
  <c r="AK127" i="11" a="1"/>
  <c r="AK127" i="11" s="1"/>
  <c r="C127" i="13" s="1"/>
  <c r="AL127" i="11" a="1"/>
  <c r="AL127" i="11" s="1"/>
  <c r="B127" i="13" s="1"/>
  <c r="AK128" i="11" a="1"/>
  <c r="AK128" i="11" s="1"/>
  <c r="C128" i="13" s="1"/>
  <c r="AL128" i="11" a="1"/>
  <c r="AL128" i="11" s="1"/>
  <c r="B128" i="13" s="1"/>
  <c r="AK129" i="11" a="1"/>
  <c r="AK129" i="11" s="1"/>
  <c r="C129" i="13" s="1"/>
  <c r="AL129" i="11" a="1"/>
  <c r="AL129" i="11" s="1"/>
  <c r="B129" i="13" s="1"/>
  <c r="AK130" i="11" a="1"/>
  <c r="AK130" i="11" s="1"/>
  <c r="C130" i="13" s="1"/>
  <c r="AL130" i="11" a="1"/>
  <c r="AL130" i="11" s="1"/>
  <c r="B130" i="13" s="1"/>
  <c r="AK131" i="11" a="1"/>
  <c r="AK131" i="11" s="1"/>
  <c r="C131" i="13" s="1"/>
  <c r="AL131" i="11" a="1"/>
  <c r="AL131" i="11" s="1"/>
  <c r="B131" i="13" s="1"/>
  <c r="AK132" i="11" a="1"/>
  <c r="AK132" i="11" s="1"/>
  <c r="C132" i="13" s="1"/>
  <c r="AL132" i="11" a="1"/>
  <c r="AL132" i="11" s="1"/>
  <c r="B132" i="13" s="1"/>
  <c r="AK133" i="11" a="1"/>
  <c r="AK133" i="11" s="1"/>
  <c r="C133" i="13" s="1"/>
  <c r="AL133" i="11" a="1"/>
  <c r="AL133" i="11" s="1"/>
  <c r="B133" i="13" s="1"/>
  <c r="AK134" i="11" a="1"/>
  <c r="AK134" i="11" s="1"/>
  <c r="C134" i="13" s="1"/>
  <c r="AL134" i="11" a="1"/>
  <c r="AL134" i="11" s="1"/>
  <c r="B134" i="13" s="1"/>
  <c r="AK83" i="11" a="1"/>
  <c r="AK83" i="11" s="1"/>
  <c r="C83" i="13" s="1"/>
  <c r="AL83" i="11" a="1"/>
  <c r="AL83" i="11" s="1"/>
  <c r="B83" i="13" s="1"/>
  <c r="AK84" i="11" a="1"/>
  <c r="AK84" i="11" s="1"/>
  <c r="C84" i="13" s="1"/>
  <c r="AL84" i="11" a="1"/>
  <c r="AL84" i="11" s="1"/>
  <c r="B84" i="13" s="1"/>
  <c r="AK85" i="11" a="1"/>
  <c r="AK85" i="11" s="1"/>
  <c r="C85" i="13" s="1"/>
  <c r="AL85" i="11" a="1"/>
  <c r="AL85" i="11" s="1"/>
  <c r="B85" i="13" s="1"/>
  <c r="AK86" i="11" a="1"/>
  <c r="AK86" i="11" s="1"/>
  <c r="C86" i="13" s="1"/>
  <c r="AL86" i="11" a="1"/>
  <c r="AL86" i="11" s="1"/>
  <c r="B86" i="13" s="1"/>
  <c r="AK87" i="11" a="1"/>
  <c r="AK87" i="11" s="1"/>
  <c r="C87" i="13" s="1"/>
  <c r="AL87" i="11" a="1"/>
  <c r="AL87" i="11" s="1"/>
  <c r="B87" i="13" s="1"/>
  <c r="AK88" i="11" a="1"/>
  <c r="AK88" i="11" s="1"/>
  <c r="C88" i="13" s="1"/>
  <c r="AL88" i="11" a="1"/>
  <c r="AL88" i="11" s="1"/>
  <c r="B88" i="13" s="1"/>
  <c r="AK89" i="11" a="1"/>
  <c r="AK89" i="11" s="1"/>
  <c r="C89" i="13" s="1"/>
  <c r="AL89" i="11" a="1"/>
  <c r="AL89" i="11" s="1"/>
  <c r="B89" i="13" s="1"/>
  <c r="AK90" i="11" a="1"/>
  <c r="AK90" i="11" s="1"/>
  <c r="C90" i="13" s="1"/>
  <c r="AL90" i="11" a="1"/>
  <c r="AL90" i="11" s="1"/>
  <c r="B90" i="13" s="1"/>
  <c r="AK91" i="11" a="1"/>
  <c r="AK91" i="11" s="1"/>
  <c r="C91" i="13" s="1"/>
  <c r="AL91" i="11" a="1"/>
  <c r="AL91" i="11" s="1"/>
  <c r="B91" i="13" s="1"/>
  <c r="AK92" i="11" a="1"/>
  <c r="AK92" i="11" s="1"/>
  <c r="C92" i="13" s="1"/>
  <c r="AL92" i="11" a="1"/>
  <c r="AL92" i="11" s="1"/>
  <c r="B92" i="13" s="1"/>
  <c r="AK93" i="11" a="1"/>
  <c r="AK93" i="11" s="1"/>
  <c r="C93" i="13" s="1"/>
  <c r="AL93" i="11" a="1"/>
  <c r="AL93" i="11" s="1"/>
  <c r="B93" i="13" s="1"/>
  <c r="AK94" i="11" a="1"/>
  <c r="AK94" i="11" s="1"/>
  <c r="C94" i="13" s="1"/>
  <c r="AL94" i="11" a="1"/>
  <c r="AL94" i="11" s="1"/>
  <c r="B94" i="13" s="1"/>
  <c r="AK95" i="11" a="1"/>
  <c r="AK95" i="11" s="1"/>
  <c r="C95" i="13" s="1"/>
  <c r="AL95" i="11" a="1"/>
  <c r="AL95" i="11" s="1"/>
  <c r="B95" i="13" s="1"/>
  <c r="AK96" i="11" a="1"/>
  <c r="AK96" i="11" s="1"/>
  <c r="C96" i="13" s="1"/>
  <c r="AL96" i="11" a="1"/>
  <c r="AL96" i="11" s="1"/>
  <c r="B96" i="13" s="1"/>
  <c r="AK97" i="11" a="1"/>
  <c r="AK97" i="11" s="1"/>
  <c r="C97" i="13" s="1"/>
  <c r="AL97" i="11" a="1"/>
  <c r="AL97" i="11" s="1"/>
  <c r="B97" i="13" s="1"/>
  <c r="AK98" i="11" a="1"/>
  <c r="AK98" i="11" s="1"/>
  <c r="C98" i="13" s="1"/>
  <c r="AL98" i="11" a="1"/>
  <c r="AL98" i="11" s="1"/>
  <c r="B98" i="13" s="1"/>
  <c r="AK99" i="11" a="1"/>
  <c r="AK99" i="11" s="1"/>
  <c r="C99" i="13" s="1"/>
  <c r="AL99" i="11" a="1"/>
  <c r="AL99" i="11" s="1"/>
  <c r="B99" i="13" s="1"/>
  <c r="AK100" i="11" a="1"/>
  <c r="AK100" i="11" s="1"/>
  <c r="C100" i="13" s="1"/>
  <c r="AL100" i="11" a="1"/>
  <c r="AL100" i="11" s="1"/>
  <c r="B100" i="13" s="1"/>
  <c r="AK101" i="11" a="1"/>
  <c r="AK101" i="11" s="1"/>
  <c r="C101" i="13" s="1"/>
  <c r="AL101" i="11" a="1"/>
  <c r="AL101" i="11" s="1"/>
  <c r="B101" i="13" s="1"/>
  <c r="AK102" i="11" a="1"/>
  <c r="AK102" i="11" s="1"/>
  <c r="C102" i="13" s="1"/>
  <c r="AL102" i="11" a="1"/>
  <c r="AL102" i="11" s="1"/>
  <c r="B102" i="13" s="1"/>
  <c r="AK103" i="11" a="1"/>
  <c r="AK103" i="11" s="1"/>
  <c r="C103" i="13" s="1"/>
  <c r="AL103" i="11" a="1"/>
  <c r="AL103" i="11" s="1"/>
  <c r="B103" i="13" s="1"/>
  <c r="AK104" i="11" a="1"/>
  <c r="AK104" i="11" s="1"/>
  <c r="C104" i="13" s="1"/>
  <c r="AL104" i="11" a="1"/>
  <c r="AL104" i="11" s="1"/>
  <c r="B104" i="13" s="1"/>
  <c r="AK105" i="11" a="1"/>
  <c r="AK105" i="11" s="1"/>
  <c r="C105" i="13" s="1"/>
  <c r="AL105" i="11" a="1"/>
  <c r="AL105" i="11" s="1"/>
  <c r="B105" i="13" s="1"/>
  <c r="AK106" i="11" a="1"/>
  <c r="AK106" i="11" s="1"/>
  <c r="C106" i="13" s="1"/>
  <c r="AL106" i="11" a="1"/>
  <c r="AL106" i="11" s="1"/>
  <c r="B106" i="13" s="1"/>
  <c r="AK107" i="11" a="1"/>
  <c r="AK107" i="11" s="1"/>
  <c r="C107" i="13" s="1"/>
  <c r="AL107" i="11" a="1"/>
  <c r="AL107" i="11" s="1"/>
  <c r="B107" i="13" s="1"/>
  <c r="AK108" i="11" a="1"/>
  <c r="AK108" i="11" s="1"/>
  <c r="C108" i="13" s="1"/>
  <c r="AL108" i="11" a="1"/>
  <c r="AL108" i="11" s="1"/>
  <c r="B108" i="13" s="1"/>
  <c r="AK109" i="11" a="1"/>
  <c r="AK109" i="11" s="1"/>
  <c r="C109" i="13" s="1"/>
  <c r="AL109" i="11" a="1"/>
  <c r="AL109" i="11" s="1"/>
  <c r="B109" i="13" s="1"/>
  <c r="AK110" i="11" a="1"/>
  <c r="AK110" i="11" s="1"/>
  <c r="C110" i="13" s="1"/>
  <c r="AL110" i="11" a="1"/>
  <c r="AL110" i="11" s="1"/>
  <c r="B110" i="13" s="1"/>
  <c r="AK111" i="11" a="1"/>
  <c r="AK111" i="11" s="1"/>
  <c r="C111" i="13" s="1"/>
  <c r="AL111" i="11" a="1"/>
  <c r="AL111" i="11" s="1"/>
  <c r="B111" i="13" s="1"/>
  <c r="AK112" i="11" a="1"/>
  <c r="AK112" i="11" s="1"/>
  <c r="C112" i="13" s="1"/>
  <c r="AL112" i="11" a="1"/>
  <c r="AL112" i="11" s="1"/>
  <c r="B112" i="13" s="1"/>
  <c r="AK113" i="11" a="1"/>
  <c r="AK113" i="11" s="1"/>
  <c r="C113" i="13" s="1"/>
  <c r="AL113" i="11" a="1"/>
  <c r="AL113" i="11" s="1"/>
  <c r="B113" i="13" s="1"/>
  <c r="AK114" i="11" a="1"/>
  <c r="AK114" i="11" s="1"/>
  <c r="C114" i="13" s="1"/>
  <c r="AL114" i="11" a="1"/>
  <c r="AL114" i="11" s="1"/>
  <c r="B114" i="13" s="1"/>
  <c r="AK115" i="11" a="1"/>
  <c r="AK115" i="11" s="1"/>
  <c r="C115" i="13" s="1"/>
  <c r="AL115" i="11" a="1"/>
  <c r="AL115" i="11" s="1"/>
  <c r="B115" i="13" s="1"/>
  <c r="AK116" i="11" a="1"/>
  <c r="AK116" i="11" s="1"/>
  <c r="C116" i="13" s="1"/>
  <c r="AL116" i="11" a="1"/>
  <c r="AL116" i="11" s="1"/>
  <c r="B116" i="13" s="1"/>
  <c r="AK117" i="11" a="1"/>
  <c r="AK117" i="11" s="1"/>
  <c r="C117" i="13" s="1"/>
  <c r="AL117" i="11" a="1"/>
  <c r="AL117" i="11" s="1"/>
  <c r="B117" i="13" s="1"/>
  <c r="AK72" i="11" a="1"/>
  <c r="AK72" i="11" s="1"/>
  <c r="C72" i="13" s="1"/>
  <c r="AK73" i="11" a="1"/>
  <c r="AK73" i="11" s="1"/>
  <c r="C73" i="13" s="1"/>
  <c r="AK74" i="11" a="1"/>
  <c r="AK74" i="11" s="1"/>
  <c r="C74" i="13" s="1"/>
  <c r="AK75" i="11" a="1"/>
  <c r="AK75" i="11" s="1"/>
  <c r="C75" i="13" s="1"/>
  <c r="AK76" i="11" a="1"/>
  <c r="AK76" i="11" s="1"/>
  <c r="C76" i="13" s="1"/>
  <c r="AK77" i="11" a="1"/>
  <c r="AK77" i="11" s="1"/>
  <c r="C77" i="13" s="1"/>
  <c r="AK78" i="11" a="1"/>
  <c r="AK78" i="11" s="1"/>
  <c r="C78" i="13" s="1"/>
  <c r="AK79" i="11" a="1"/>
  <c r="AK79" i="11" s="1"/>
  <c r="C79" i="13" s="1"/>
  <c r="AK80" i="11" a="1"/>
  <c r="AK80" i="11" s="1"/>
  <c r="C80" i="13" s="1"/>
  <c r="AK81" i="11" a="1"/>
  <c r="AK81" i="11" s="1"/>
  <c r="C81" i="13" s="1"/>
  <c r="AK82" i="11" a="1"/>
  <c r="AK82" i="11" s="1"/>
  <c r="C82" i="13" s="1"/>
  <c r="AL72" i="11" a="1"/>
  <c r="AL72" i="11" s="1"/>
  <c r="B72" i="13" s="1"/>
  <c r="AL73" i="11" a="1"/>
  <c r="AL73" i="11" s="1"/>
  <c r="B73" i="13" s="1"/>
  <c r="AL74" i="11" a="1"/>
  <c r="AL74" i="11" s="1"/>
  <c r="B74" i="13" s="1"/>
  <c r="AL75" i="11" a="1"/>
  <c r="AL75" i="11" s="1"/>
  <c r="B75" i="13" s="1"/>
  <c r="AL76" i="11" a="1"/>
  <c r="AL76" i="11" s="1"/>
  <c r="B76" i="13" s="1"/>
  <c r="AL77" i="11" a="1"/>
  <c r="AL77" i="11" s="1"/>
  <c r="B77" i="13" s="1"/>
  <c r="AL78" i="11" a="1"/>
  <c r="AL78" i="11" s="1"/>
  <c r="B78" i="13" s="1"/>
  <c r="AL79" i="11" a="1"/>
  <c r="AL79" i="11" s="1"/>
  <c r="B79" i="13" s="1"/>
  <c r="AL80" i="11" a="1"/>
  <c r="AL80" i="11" s="1"/>
  <c r="B80" i="13" s="1"/>
  <c r="AL81" i="11" a="1"/>
  <c r="AL81" i="11" s="1"/>
  <c r="B81" i="13" s="1"/>
  <c r="AL82" i="11" a="1"/>
  <c r="AL82" i="11" s="1"/>
  <c r="B82" i="13" s="1"/>
  <c r="F24" i="17"/>
  <c r="F23" i="17"/>
  <c r="F22" i="17"/>
  <c r="F21" i="17"/>
  <c r="F20" i="17"/>
  <c r="F19" i="17"/>
  <c r="F18" i="17"/>
  <c r="F17" i="17"/>
  <c r="F16" i="17"/>
  <c r="F15" i="17"/>
  <c r="F14" i="17"/>
  <c r="F13" i="17"/>
  <c r="O3" i="19" l="1"/>
  <c r="O4" i="19"/>
  <c r="O5" i="19"/>
  <c r="O6" i="19"/>
  <c r="O7" i="19"/>
  <c r="O8" i="19"/>
  <c r="O9" i="19"/>
  <c r="O10" i="19"/>
  <c r="O11" i="19"/>
  <c r="O12" i="19"/>
  <c r="O13" i="19"/>
  <c r="O14" i="19"/>
  <c r="O15" i="19"/>
  <c r="O16" i="19"/>
  <c r="O17" i="19"/>
  <c r="O18" i="19"/>
  <c r="O19" i="19"/>
  <c r="O20" i="19"/>
  <c r="O2" i="19"/>
  <c r="G133" i="11"/>
  <c r="G134" i="11"/>
  <c r="G118" i="11"/>
  <c r="G44" i="11"/>
  <c r="G3" i="11"/>
  <c r="G4" i="11"/>
  <c r="G5" i="11"/>
  <c r="G6" i="11"/>
  <c r="G7" i="11"/>
  <c r="G8" i="11"/>
  <c r="G9" i="11"/>
  <c r="G10" i="11"/>
  <c r="G11" i="11"/>
  <c r="G12" i="11"/>
  <c r="G13" i="11"/>
  <c r="G14" i="11"/>
  <c r="G15" i="11"/>
  <c r="G16" i="11"/>
  <c r="G17" i="11"/>
  <c r="G18" i="11"/>
  <c r="G19" i="11"/>
  <c r="G20" i="11"/>
  <c r="G21" i="11"/>
  <c r="G22" i="11"/>
  <c r="G23" i="11"/>
  <c r="G24" i="11"/>
  <c r="G25" i="11"/>
  <c r="G26" i="11"/>
  <c r="G27" i="11"/>
  <c r="G28" i="11"/>
  <c r="G29" i="11"/>
  <c r="G30" i="11"/>
  <c r="G31" i="11"/>
  <c r="G32" i="11"/>
  <c r="G33" i="11"/>
  <c r="G34" i="11"/>
  <c r="G35" i="11"/>
  <c r="G36" i="11"/>
  <c r="G37" i="11"/>
  <c r="G38" i="11"/>
  <c r="G39" i="11"/>
  <c r="G40" i="11"/>
  <c r="G41" i="11"/>
  <c r="G42" i="11"/>
  <c r="G43" i="11"/>
  <c r="G45" i="11"/>
  <c r="G46" i="11"/>
  <c r="G47" i="11"/>
  <c r="G48" i="11"/>
  <c r="G49" i="11"/>
  <c r="G50" i="11"/>
  <c r="G51" i="11"/>
  <c r="G52" i="11"/>
  <c r="G53" i="11"/>
  <c r="G54" i="11"/>
  <c r="G55" i="11"/>
  <c r="G56" i="11"/>
  <c r="G57" i="11"/>
  <c r="G58" i="11"/>
  <c r="G59" i="11"/>
  <c r="G60" i="11"/>
  <c r="G61" i="11"/>
  <c r="G62" i="11"/>
  <c r="G63" i="11"/>
  <c r="G64" i="11"/>
  <c r="G65" i="11"/>
  <c r="G66" i="11"/>
  <c r="G67" i="11"/>
  <c r="G68" i="11"/>
  <c r="G69" i="11"/>
  <c r="G70" i="11"/>
  <c r="G71" i="11"/>
  <c r="G72" i="11"/>
  <c r="G73" i="11"/>
  <c r="G74" i="11"/>
  <c r="G75" i="11"/>
  <c r="G76" i="11"/>
  <c r="G77" i="11"/>
  <c r="G78" i="11"/>
  <c r="G79" i="11"/>
  <c r="G80" i="11"/>
  <c r="G81" i="11"/>
  <c r="G82" i="11"/>
  <c r="G83" i="11"/>
  <c r="G84" i="11"/>
  <c r="G85" i="11"/>
  <c r="G86" i="11"/>
  <c r="G87" i="11"/>
  <c r="G88" i="11"/>
  <c r="G89" i="11"/>
  <c r="G90" i="11"/>
  <c r="G91" i="11"/>
  <c r="G92" i="11"/>
  <c r="G93" i="11"/>
  <c r="G94" i="11"/>
  <c r="G95" i="11"/>
  <c r="G96" i="11"/>
  <c r="G97" i="11"/>
  <c r="G98" i="11"/>
  <c r="G99" i="11"/>
  <c r="G100" i="11"/>
  <c r="G101" i="11"/>
  <c r="G102" i="11"/>
  <c r="G103" i="11"/>
  <c r="G104" i="11"/>
  <c r="G105" i="11"/>
  <c r="G106" i="11"/>
  <c r="G107" i="11"/>
  <c r="G108" i="11"/>
  <c r="G109" i="11"/>
  <c r="G110" i="11"/>
  <c r="G111" i="11"/>
  <c r="G112" i="11"/>
  <c r="G113" i="11"/>
  <c r="G114" i="11"/>
  <c r="G115" i="11"/>
  <c r="G116" i="11"/>
  <c r="G117" i="11"/>
  <c r="G119" i="11"/>
  <c r="G120" i="11"/>
  <c r="G121" i="11"/>
  <c r="G122" i="11"/>
  <c r="G123" i="11"/>
  <c r="G124" i="11"/>
  <c r="G125" i="11"/>
  <c r="G126" i="11"/>
  <c r="G127" i="11"/>
  <c r="G128" i="11"/>
  <c r="G129" i="11"/>
  <c r="G130" i="11"/>
  <c r="G131" i="11"/>
  <c r="G132" i="11"/>
  <c r="G2" i="11"/>
  <c r="J21" i="16"/>
  <c r="J15" i="16"/>
  <c r="J14" i="16"/>
  <c r="J13" i="16"/>
  <c r="J12" i="16"/>
  <c r="J11" i="16"/>
  <c r="J10" i="16"/>
  <c r="J9" i="16"/>
  <c r="J8" i="16"/>
  <c r="J7" i="16"/>
  <c r="J6" i="16"/>
  <c r="J5" i="16"/>
  <c r="J4" i="16"/>
  <c r="J2" i="16"/>
  <c r="A2" i="13"/>
  <c r="A3" i="13"/>
  <c r="A4" i="13"/>
  <c r="A5" i="13"/>
  <c r="A6" i="13"/>
  <c r="A7" i="13"/>
  <c r="A8" i="13"/>
  <c r="A9" i="13"/>
  <c r="A10" i="13"/>
  <c r="A11" i="13"/>
  <c r="A12" i="13"/>
  <c r="A13" i="13"/>
  <c r="A14" i="13"/>
  <c r="A15" i="13"/>
  <c r="A16" i="13"/>
  <c r="A17" i="13"/>
  <c r="A18" i="13"/>
  <c r="A19" i="13"/>
  <c r="A20" i="13"/>
  <c r="A21" i="13"/>
  <c r="A22" i="13"/>
  <c r="A23" i="13"/>
  <c r="A24" i="13"/>
  <c r="A25" i="13"/>
  <c r="A26" i="13"/>
  <c r="A27" i="13"/>
  <c r="A28" i="13"/>
  <c r="A29" i="13"/>
  <c r="A30" i="13"/>
  <c r="A31" i="13"/>
  <c r="A32" i="13"/>
  <c r="A33" i="13"/>
  <c r="A34" i="13"/>
  <c r="A35" i="13"/>
  <c r="A36" i="13"/>
  <c r="A37" i="13"/>
  <c r="A38" i="13"/>
  <c r="A39" i="13"/>
  <c r="A40" i="13"/>
  <c r="A41" i="13"/>
  <c r="A42" i="13"/>
  <c r="A43" i="13"/>
  <c r="A44" i="13"/>
  <c r="A45" i="13"/>
  <c r="A46" i="13"/>
  <c r="A47" i="13"/>
  <c r="A48" i="13"/>
  <c r="A49" i="13"/>
  <c r="A50" i="13"/>
  <c r="A51" i="13"/>
  <c r="A52" i="13"/>
  <c r="A53" i="13"/>
  <c r="A54" i="13"/>
  <c r="A55" i="13"/>
  <c r="A56" i="13"/>
  <c r="A57" i="13"/>
  <c r="A58" i="13"/>
  <c r="A59" i="13"/>
  <c r="A60" i="13"/>
  <c r="A61" i="13"/>
  <c r="A62" i="13"/>
  <c r="A63" i="13"/>
  <c r="A64" i="13"/>
  <c r="A65" i="13"/>
  <c r="A66" i="13"/>
  <c r="A67" i="13"/>
  <c r="A68" i="13"/>
  <c r="A69" i="13"/>
  <c r="A70" i="13"/>
  <c r="A71" i="13"/>
  <c r="AL61" i="11" a="1"/>
  <c r="AL61" i="11" s="1"/>
  <c r="B61" i="13" s="1"/>
  <c r="AL71" i="11" a="1"/>
  <c r="AL71" i="11" s="1"/>
  <c r="B71" i="13" s="1"/>
  <c r="AL70" i="11" a="1"/>
  <c r="AL70" i="11" s="1"/>
  <c r="B70" i="13" s="1"/>
  <c r="AL69" i="11" a="1"/>
  <c r="AL69" i="11" s="1"/>
  <c r="B69" i="13" s="1"/>
  <c r="AL68" i="11" a="1"/>
  <c r="AL68" i="11" s="1"/>
  <c r="B68" i="13" s="1"/>
  <c r="AL67" i="11" a="1"/>
  <c r="AL67" i="11" s="1"/>
  <c r="B67" i="13" s="1"/>
  <c r="AL66" i="11" a="1"/>
  <c r="AL66" i="11" s="1"/>
  <c r="B66" i="13" s="1"/>
  <c r="AL65" i="11" a="1"/>
  <c r="AL65" i="11" s="1"/>
  <c r="B65" i="13" s="1"/>
  <c r="AL64" i="11" a="1"/>
  <c r="AL64" i="11" s="1"/>
  <c r="B64" i="13" s="1"/>
  <c r="AL63" i="11" a="1"/>
  <c r="AL63" i="11" s="1"/>
  <c r="B63" i="13" s="1"/>
  <c r="AL62" i="11" a="1"/>
  <c r="AL62" i="11" s="1"/>
  <c r="B62" i="13" s="1"/>
  <c r="AL60" i="11" a="1"/>
  <c r="AL60" i="11" s="1"/>
  <c r="B60" i="13" s="1"/>
  <c r="AL59" i="11" a="1"/>
  <c r="AL59" i="11" s="1"/>
  <c r="B59" i="13" s="1"/>
  <c r="AL58" i="11" a="1"/>
  <c r="AL58" i="11" s="1"/>
  <c r="B58" i="13" s="1"/>
  <c r="AL57" i="11" a="1"/>
  <c r="AL57" i="11" s="1"/>
  <c r="B57" i="13" s="1"/>
  <c r="AL56" i="11" a="1"/>
  <c r="AL56" i="11" s="1"/>
  <c r="B56" i="13" s="1"/>
  <c r="AL55" i="11" a="1"/>
  <c r="AL55" i="11" s="1"/>
  <c r="B55" i="13" s="1"/>
  <c r="AL54" i="11" a="1"/>
  <c r="AL54" i="11" s="1"/>
  <c r="B54" i="13" s="1"/>
  <c r="AL53" i="11" a="1"/>
  <c r="AL53" i="11" s="1"/>
  <c r="B53" i="13" s="1"/>
  <c r="AL52" i="11" a="1"/>
  <c r="AL52" i="11" s="1"/>
  <c r="B52" i="13" s="1"/>
  <c r="AL51" i="11" a="1"/>
  <c r="AL51" i="11" s="1"/>
  <c r="B51" i="13" s="1"/>
  <c r="AL50" i="11" a="1"/>
  <c r="AL50" i="11" s="1"/>
  <c r="B50" i="13" s="1"/>
  <c r="AL49" i="11" a="1"/>
  <c r="AL49" i="11" s="1"/>
  <c r="B49" i="13" s="1"/>
  <c r="AL48" i="11" a="1"/>
  <c r="AL48" i="11" s="1"/>
  <c r="B48" i="13" s="1"/>
  <c r="AL47" i="11" a="1"/>
  <c r="AL47" i="11" s="1"/>
  <c r="B47" i="13" s="1"/>
  <c r="AL46" i="11" a="1"/>
  <c r="AL46" i="11" s="1"/>
  <c r="B46" i="13" s="1"/>
  <c r="AL45" i="11" a="1"/>
  <c r="AL45" i="11" s="1"/>
  <c r="B45" i="13" s="1"/>
  <c r="AL44" i="11" a="1"/>
  <c r="AL44" i="11" s="1"/>
  <c r="B44" i="13" s="1"/>
  <c r="AL43" i="11" a="1"/>
  <c r="AL43" i="11" s="1"/>
  <c r="B43" i="13" s="1"/>
  <c r="AL42" i="11" a="1"/>
  <c r="AL42" i="11" s="1"/>
  <c r="B42" i="13" s="1"/>
  <c r="AL41" i="11" a="1"/>
  <c r="AL41" i="11" s="1"/>
  <c r="B41" i="13" s="1"/>
  <c r="AL40" i="11" a="1"/>
  <c r="AL40" i="11" s="1"/>
  <c r="B40" i="13" s="1"/>
  <c r="AL39" i="11" a="1"/>
  <c r="AL39" i="11" s="1"/>
  <c r="B39" i="13" s="1"/>
  <c r="AL38" i="11" a="1"/>
  <c r="AL38" i="11" s="1"/>
  <c r="B38" i="13" s="1"/>
  <c r="AL37" i="11" a="1"/>
  <c r="AL37" i="11" s="1"/>
  <c r="B37" i="13" s="1"/>
  <c r="AL36" i="11" a="1"/>
  <c r="AL36" i="11" s="1"/>
  <c r="B36" i="13" s="1"/>
  <c r="AL35" i="11" a="1"/>
  <c r="AL35" i="11" s="1"/>
  <c r="B35" i="13" s="1"/>
  <c r="AL34" i="11" a="1"/>
  <c r="AL34" i="11" s="1"/>
  <c r="B34" i="13" s="1"/>
  <c r="AL33" i="11" a="1"/>
  <c r="AL33" i="11" s="1"/>
  <c r="B33" i="13" s="1"/>
  <c r="AL32" i="11" a="1"/>
  <c r="AL32" i="11" s="1"/>
  <c r="B32" i="13" s="1"/>
  <c r="AL31" i="11" a="1"/>
  <c r="AL31" i="11" s="1"/>
  <c r="B31" i="13" s="1"/>
  <c r="AL30" i="11" a="1"/>
  <c r="AL30" i="11" s="1"/>
  <c r="B30" i="13" s="1"/>
  <c r="AL29" i="11" a="1"/>
  <c r="AL29" i="11" s="1"/>
  <c r="B29" i="13" s="1"/>
  <c r="AL28" i="11" a="1"/>
  <c r="AL28" i="11" s="1"/>
  <c r="B28" i="13" s="1"/>
  <c r="AL27" i="11" a="1"/>
  <c r="AL27" i="11" s="1"/>
  <c r="B27" i="13" s="1"/>
  <c r="AL26" i="11" a="1"/>
  <c r="AL26" i="11" s="1"/>
  <c r="B26" i="13" s="1"/>
  <c r="AL25" i="11" a="1"/>
  <c r="AL25" i="11" s="1"/>
  <c r="B25" i="13" s="1"/>
  <c r="AL24" i="11" a="1"/>
  <c r="AL24" i="11" s="1"/>
  <c r="B24" i="13" s="1"/>
  <c r="AL23" i="11" a="1"/>
  <c r="AL23" i="11" s="1"/>
  <c r="B23" i="13" s="1"/>
  <c r="AL22" i="11" a="1"/>
  <c r="AL22" i="11" s="1"/>
  <c r="B22" i="13" s="1"/>
  <c r="AL21" i="11" a="1"/>
  <c r="AL21" i="11" s="1"/>
  <c r="B21" i="13" s="1"/>
  <c r="AL20" i="11" a="1"/>
  <c r="AL20" i="11" s="1"/>
  <c r="B20" i="13" s="1"/>
  <c r="AL19" i="11" a="1"/>
  <c r="AL19" i="11" s="1"/>
  <c r="B19" i="13" s="1"/>
  <c r="AL18" i="11" a="1"/>
  <c r="AL18" i="11" s="1"/>
  <c r="B18" i="13" s="1"/>
  <c r="AL17" i="11" a="1"/>
  <c r="AL17" i="11" s="1"/>
  <c r="B17" i="13" s="1"/>
  <c r="AL16" i="11" a="1"/>
  <c r="AL16" i="11" s="1"/>
  <c r="B16" i="13" s="1"/>
  <c r="AL15" i="11" a="1"/>
  <c r="AL15" i="11" s="1"/>
  <c r="B15" i="13" s="1"/>
  <c r="AL14" i="11" a="1"/>
  <c r="AL14" i="11" s="1"/>
  <c r="B14" i="13" s="1"/>
  <c r="AL13" i="11" a="1"/>
  <c r="AL13" i="11" s="1"/>
  <c r="B13" i="13" s="1"/>
  <c r="AL12" i="11" a="1"/>
  <c r="AL12" i="11" s="1"/>
  <c r="B12" i="13" s="1"/>
  <c r="AL11" i="11" a="1"/>
  <c r="AL11" i="11" s="1"/>
  <c r="B11" i="13" s="1"/>
  <c r="AL10" i="11" a="1"/>
  <c r="AL10" i="11" s="1"/>
  <c r="B10" i="13" s="1"/>
  <c r="AL9" i="11" a="1"/>
  <c r="AL9" i="11" s="1"/>
  <c r="B9" i="13" s="1"/>
  <c r="AL8" i="11" a="1"/>
  <c r="AL8" i="11" s="1"/>
  <c r="B8" i="13" s="1"/>
  <c r="AL7" i="11" a="1"/>
  <c r="AL7" i="11" s="1"/>
  <c r="B7" i="13" s="1"/>
  <c r="AL6" i="11" a="1"/>
  <c r="AL6" i="11" s="1"/>
  <c r="B6" i="13" s="1"/>
  <c r="AL5" i="11" a="1"/>
  <c r="AL5" i="11" s="1"/>
  <c r="B5" i="13" s="1"/>
  <c r="AL4" i="11" a="1"/>
  <c r="AL4" i="11" s="1"/>
  <c r="B4" i="13" s="1"/>
  <c r="AL3" i="11" a="1"/>
  <c r="AL3" i="11" s="1"/>
  <c r="B3" i="13" s="1"/>
  <c r="AK71" i="11" a="1"/>
  <c r="AK71" i="11" s="1"/>
  <c r="C71" i="13" s="1"/>
  <c r="AK70" i="11" a="1"/>
  <c r="AK70" i="11" s="1"/>
  <c r="C70" i="13" s="1"/>
  <c r="AK69" i="11" a="1"/>
  <c r="AK69" i="11" s="1"/>
  <c r="C69" i="13" s="1"/>
  <c r="AK68" i="11" a="1"/>
  <c r="AK68" i="11" s="1"/>
  <c r="C68" i="13" s="1"/>
  <c r="AK67" i="11" a="1"/>
  <c r="AK67" i="11" s="1"/>
  <c r="C67" i="13" s="1"/>
  <c r="AK66" i="11" a="1"/>
  <c r="AK66" i="11" s="1"/>
  <c r="C66" i="13" s="1"/>
  <c r="AK65" i="11" a="1"/>
  <c r="AK65" i="11" s="1"/>
  <c r="C65" i="13" s="1"/>
  <c r="AK64" i="11" a="1"/>
  <c r="AK64" i="11" s="1"/>
  <c r="C64" i="13" s="1"/>
  <c r="AK63" i="11" a="1"/>
  <c r="AK63" i="11" s="1"/>
  <c r="C63" i="13" s="1"/>
  <c r="AK62" i="11" a="1"/>
  <c r="AK62" i="11" s="1"/>
  <c r="C62" i="13" s="1"/>
  <c r="AK61" i="11" a="1"/>
  <c r="AK61" i="11" s="1"/>
  <c r="C61" i="13" s="1"/>
  <c r="AK60" i="11" a="1"/>
  <c r="AK60" i="11" s="1"/>
  <c r="C60" i="13" s="1"/>
  <c r="AK59" i="11" a="1"/>
  <c r="AK59" i="11" s="1"/>
  <c r="C59" i="13" s="1"/>
  <c r="AK58" i="11" a="1"/>
  <c r="AK58" i="11" s="1"/>
  <c r="C58" i="13" s="1"/>
  <c r="AK57" i="11" a="1"/>
  <c r="AK57" i="11" s="1"/>
  <c r="C57" i="13" s="1"/>
  <c r="AK56" i="11" a="1"/>
  <c r="AK56" i="11" s="1"/>
  <c r="C56" i="13" s="1"/>
  <c r="AK55" i="11" a="1"/>
  <c r="AK55" i="11" s="1"/>
  <c r="C55" i="13" s="1"/>
  <c r="AK54" i="11" a="1"/>
  <c r="AK54" i="11" s="1"/>
  <c r="C54" i="13" s="1"/>
  <c r="AK53" i="11" a="1"/>
  <c r="AK53" i="11" s="1"/>
  <c r="C53" i="13" s="1"/>
  <c r="AK52" i="11" a="1"/>
  <c r="AK52" i="11" s="1"/>
  <c r="C52" i="13" s="1"/>
  <c r="AK51" i="11" a="1"/>
  <c r="AK51" i="11" s="1"/>
  <c r="C51" i="13" s="1"/>
  <c r="AK50" i="11" a="1"/>
  <c r="AK50" i="11" s="1"/>
  <c r="C50" i="13" s="1"/>
  <c r="AK49" i="11" a="1"/>
  <c r="AK49" i="11" s="1"/>
  <c r="C49" i="13" s="1"/>
  <c r="AK48" i="11" a="1"/>
  <c r="AK48" i="11" s="1"/>
  <c r="C48" i="13" s="1"/>
  <c r="AK47" i="11" a="1"/>
  <c r="AK47" i="11" s="1"/>
  <c r="C47" i="13" s="1"/>
  <c r="AK46" i="11" a="1"/>
  <c r="AK46" i="11" s="1"/>
  <c r="C46" i="13" s="1"/>
  <c r="AK45" i="11" a="1"/>
  <c r="AK45" i="11" s="1"/>
  <c r="C45" i="13" s="1"/>
  <c r="AK44" i="11" a="1"/>
  <c r="AK44" i="11" s="1"/>
  <c r="C44" i="13" s="1"/>
  <c r="AK43" i="11" a="1"/>
  <c r="AK43" i="11" s="1"/>
  <c r="C43" i="13" s="1"/>
  <c r="AK42" i="11" a="1"/>
  <c r="AK42" i="11" s="1"/>
  <c r="C42" i="13" s="1"/>
  <c r="AK41" i="11" a="1"/>
  <c r="AK41" i="11" s="1"/>
  <c r="C41" i="13" s="1"/>
  <c r="AK40" i="11" a="1"/>
  <c r="AK40" i="11" s="1"/>
  <c r="C40" i="13" s="1"/>
  <c r="AK39" i="11" a="1"/>
  <c r="AK39" i="11" s="1"/>
  <c r="C39" i="13" s="1"/>
  <c r="AK38" i="11" a="1"/>
  <c r="AK38" i="11" s="1"/>
  <c r="C38" i="13" s="1"/>
  <c r="AK37" i="11" a="1"/>
  <c r="AK37" i="11" s="1"/>
  <c r="C37" i="13" s="1"/>
  <c r="AK36" i="11" a="1"/>
  <c r="AK36" i="11" s="1"/>
  <c r="C36" i="13" s="1"/>
  <c r="AK35" i="11" a="1"/>
  <c r="AK35" i="11" s="1"/>
  <c r="C35" i="13" s="1"/>
  <c r="AK34" i="11" a="1"/>
  <c r="AK34" i="11" s="1"/>
  <c r="C34" i="13" s="1"/>
  <c r="AK33" i="11" a="1"/>
  <c r="AK33" i="11" s="1"/>
  <c r="C33" i="13" s="1"/>
  <c r="AK32" i="11" a="1"/>
  <c r="AK32" i="11" s="1"/>
  <c r="C32" i="13" s="1"/>
  <c r="AK31" i="11" a="1"/>
  <c r="AK31" i="11" s="1"/>
  <c r="C31" i="13" s="1"/>
  <c r="AK30" i="11" a="1"/>
  <c r="AK30" i="11" s="1"/>
  <c r="C30" i="13" s="1"/>
  <c r="AK29" i="11" a="1"/>
  <c r="AK29" i="11" s="1"/>
  <c r="C29" i="13" s="1"/>
  <c r="AK28" i="11" a="1"/>
  <c r="AK28" i="11" s="1"/>
  <c r="C28" i="13" s="1"/>
  <c r="AK27" i="11" a="1"/>
  <c r="AK27" i="11" s="1"/>
  <c r="C27" i="13" s="1"/>
  <c r="AK26" i="11" a="1"/>
  <c r="AK26" i="11" s="1"/>
  <c r="C26" i="13" s="1"/>
  <c r="AK25" i="11" a="1"/>
  <c r="AK25" i="11" s="1"/>
  <c r="C25" i="13" s="1"/>
  <c r="AK24" i="11" a="1"/>
  <c r="AK24" i="11" s="1"/>
  <c r="C24" i="13" s="1"/>
  <c r="AK23" i="11" a="1"/>
  <c r="AK23" i="11" s="1"/>
  <c r="C23" i="13" s="1"/>
  <c r="AK22" i="11" a="1"/>
  <c r="AK22" i="11" s="1"/>
  <c r="C22" i="13" s="1"/>
  <c r="AK21" i="11" a="1"/>
  <c r="AK21" i="11" s="1"/>
  <c r="C21" i="13" s="1"/>
  <c r="AK20" i="11" a="1"/>
  <c r="AK20" i="11" s="1"/>
  <c r="C20" i="13" s="1"/>
  <c r="AK19" i="11" a="1"/>
  <c r="AK19" i="11" s="1"/>
  <c r="C19" i="13" s="1"/>
  <c r="AK18" i="11" a="1"/>
  <c r="AK18" i="11" s="1"/>
  <c r="C18" i="13" s="1"/>
  <c r="AK17" i="11" a="1"/>
  <c r="AK17" i="11" s="1"/>
  <c r="C17" i="13" s="1"/>
  <c r="AK16" i="11" a="1"/>
  <c r="AK16" i="11" s="1"/>
  <c r="C16" i="13" s="1"/>
  <c r="AK15" i="11" a="1"/>
  <c r="AK15" i="11" s="1"/>
  <c r="C15" i="13" s="1"/>
  <c r="AK14" i="11" a="1"/>
  <c r="AK14" i="11" s="1"/>
  <c r="C14" i="13" s="1"/>
  <c r="AK13" i="11" a="1"/>
  <c r="AK13" i="11" s="1"/>
  <c r="C13" i="13" s="1"/>
  <c r="AK12" i="11" a="1"/>
  <c r="AK12" i="11" s="1"/>
  <c r="C12" i="13" s="1"/>
  <c r="AK11" i="11" a="1"/>
  <c r="AK11" i="11" s="1"/>
  <c r="C11" i="13" s="1"/>
  <c r="AK10" i="11" a="1"/>
  <c r="AK10" i="11" s="1"/>
  <c r="C10" i="13" s="1"/>
  <c r="AK9" i="11" a="1"/>
  <c r="AK9" i="11" s="1"/>
  <c r="C9" i="13" s="1"/>
  <c r="AK8" i="11" a="1"/>
  <c r="AK8" i="11" s="1"/>
  <c r="C8" i="13" s="1"/>
  <c r="AK7" i="11" a="1"/>
  <c r="AK7" i="11" s="1"/>
  <c r="C7" i="13" s="1"/>
  <c r="AK6" i="11" a="1"/>
  <c r="AK6" i="11" s="1"/>
  <c r="C6" i="13" s="1"/>
  <c r="AK5" i="11" a="1"/>
  <c r="AK5" i="11" s="1"/>
  <c r="C5" i="13" s="1"/>
  <c r="AK4" i="11" a="1"/>
  <c r="AK4" i="11" s="1"/>
  <c r="C4" i="13" s="1"/>
  <c r="AK3" i="11" a="1"/>
  <c r="AK3" i="11" s="1"/>
  <c r="C3" i="13" s="1"/>
  <c r="AL2" i="11" a="1"/>
  <c r="AL2" i="11" s="1"/>
  <c r="B2" i="13" s="1"/>
  <c r="AK2" i="11" a="1"/>
  <c r="AK2" i="11" s="1"/>
  <c r="C2" i="13" s="1"/>
  <c r="J52" i="11"/>
  <c r="J36" i="11"/>
  <c r="J21" i="11"/>
  <c r="J2" i="11"/>
  <c r="J3" i="11"/>
  <c r="J5" i="11"/>
  <c r="J6" i="11"/>
  <c r="J7" i="11"/>
  <c r="J8" i="11"/>
  <c r="J10" i="11"/>
  <c r="J11" i="11"/>
  <c r="J12" i="11"/>
  <c r="J13" i="11"/>
  <c r="J14" i="11"/>
  <c r="J15" i="11"/>
  <c r="J16" i="11"/>
  <c r="J18" i="11"/>
  <c r="J19" i="11"/>
  <c r="J20" i="11"/>
  <c r="J22" i="11"/>
  <c r="J23" i="11"/>
  <c r="J25" i="11"/>
  <c r="J26" i="11"/>
  <c r="J27" i="11"/>
  <c r="J28" i="11"/>
  <c r="J29" i="11"/>
  <c r="J30" i="11"/>
  <c r="J31" i="11"/>
  <c r="J32" i="11"/>
  <c r="J33" i="11"/>
  <c r="J34" i="11"/>
  <c r="J35" i="11"/>
  <c r="J37" i="11"/>
  <c r="J38" i="11"/>
  <c r="J39" i="11"/>
  <c r="J40" i="11"/>
  <c r="J41" i="11"/>
  <c r="J42" i="11"/>
  <c r="J43" i="11"/>
  <c r="J44" i="11"/>
  <c r="J45" i="11"/>
  <c r="J46" i="11"/>
  <c r="J47" i="11"/>
  <c r="J49" i="11"/>
  <c r="J24" i="11"/>
  <c r="J50" i="11"/>
  <c r="J51" i="11"/>
  <c r="J53" i="11"/>
  <c r="J54" i="11"/>
  <c r="J55" i="11"/>
  <c r="J56" i="11"/>
  <c r="J57" i="11"/>
  <c r="J58" i="11"/>
  <c r="J59" i="11"/>
  <c r="J60" i="11"/>
  <c r="J61" i="11"/>
  <c r="J62" i="11"/>
  <c r="J64" i="11"/>
  <c r="J65" i="11"/>
  <c r="J66" i="11"/>
  <c r="J67" i="11"/>
  <c r="J68" i="11"/>
  <c r="J69" i="11"/>
  <c r="J70" i="11"/>
  <c r="J71" i="11"/>
  <c r="O11" i="12" l="1"/>
  <c r="O12" i="12"/>
  <c r="O13" i="12"/>
  <c r="O14" i="12"/>
  <c r="O15" i="12"/>
  <c r="O16" i="12"/>
  <c r="O17" i="12"/>
  <c r="O18" i="12"/>
  <c r="O4" i="12"/>
  <c r="O2" i="12"/>
  <c r="O3" i="12"/>
  <c r="O5" i="12"/>
  <c r="O6" i="12"/>
  <c r="O7" i="12"/>
  <c r="O8" i="12"/>
  <c r="O9" i="12"/>
  <c r="O10" i="12"/>
  <c r="D2" i="13" a="1"/>
  <c r="O22" i="12"/>
  <c r="O110" i="12"/>
  <c r="O43" i="12"/>
  <c r="O73" i="12"/>
  <c r="O51" i="12"/>
  <c r="O29" i="12"/>
  <c r="O30" i="12"/>
  <c r="O50" i="12"/>
  <c r="O72" i="12"/>
  <c r="O26" i="12"/>
  <c r="O49" i="12"/>
  <c r="O69" i="12"/>
  <c r="O91" i="12"/>
  <c r="O112" i="12"/>
  <c r="O90" i="12"/>
  <c r="O68" i="12"/>
  <c r="O46" i="12"/>
  <c r="O24" i="12"/>
  <c r="O111" i="12"/>
  <c r="O89" i="12"/>
  <c r="O67" i="12"/>
  <c r="O45" i="12"/>
  <c r="O23" i="12"/>
  <c r="O52" i="12"/>
  <c r="O117" i="12"/>
  <c r="O116" i="12"/>
  <c r="O28" i="12"/>
  <c r="O27" i="12"/>
  <c r="O70" i="12"/>
  <c r="O25" i="12"/>
  <c r="O44" i="12"/>
  <c r="O87" i="12"/>
  <c r="O108" i="12"/>
  <c r="O86" i="12"/>
  <c r="O64" i="12"/>
  <c r="O42" i="12"/>
  <c r="O20" i="12"/>
  <c r="O107" i="12"/>
  <c r="O85" i="12"/>
  <c r="O63" i="12"/>
  <c r="O41" i="12"/>
  <c r="O19" i="12"/>
  <c r="O106" i="12"/>
  <c r="O84" i="12"/>
  <c r="O62" i="12"/>
  <c r="O40" i="12"/>
  <c r="O74" i="12"/>
  <c r="O95" i="12"/>
  <c r="O71" i="12"/>
  <c r="O48" i="12"/>
  <c r="O47" i="12"/>
  <c r="O88" i="12"/>
  <c r="O21" i="12"/>
  <c r="O61" i="12"/>
  <c r="O104" i="12"/>
  <c r="O82" i="12"/>
  <c r="O60" i="12"/>
  <c r="O38" i="12"/>
  <c r="O94" i="12"/>
  <c r="O115" i="12"/>
  <c r="O66" i="12"/>
  <c r="O65" i="12"/>
  <c r="O105" i="12"/>
  <c r="O83" i="12"/>
  <c r="O39" i="12"/>
  <c r="O103" i="12"/>
  <c r="O81" i="12"/>
  <c r="O59" i="12"/>
  <c r="O37" i="12"/>
  <c r="O118" i="12"/>
  <c r="O92" i="12"/>
  <c r="O113" i="12"/>
  <c r="O36" i="12"/>
  <c r="O101" i="12"/>
  <c r="O79" i="12"/>
  <c r="O57" i="12"/>
  <c r="O35" i="12"/>
  <c r="O122" i="12"/>
  <c r="O100" i="12"/>
  <c r="O78" i="12"/>
  <c r="O56" i="12"/>
  <c r="O34" i="12"/>
  <c r="O93" i="12"/>
  <c r="O114" i="12"/>
  <c r="O109" i="12"/>
  <c r="O58" i="12"/>
  <c r="O121" i="12"/>
  <c r="O99" i="12"/>
  <c r="O77" i="12"/>
  <c r="O55" i="12"/>
  <c r="O33" i="12"/>
  <c r="O96" i="12"/>
  <c r="O102" i="12"/>
  <c r="O120" i="12"/>
  <c r="O98" i="12"/>
  <c r="O76" i="12"/>
  <c r="O54" i="12"/>
  <c r="O32" i="12"/>
  <c r="O80" i="12"/>
  <c r="O119" i="12"/>
  <c r="O97" i="12"/>
  <c r="O75" i="12"/>
  <c r="O53" i="12"/>
  <c r="O31" i="12"/>
  <c r="D2" i="13" l="1"/>
  <c r="F2" i="13" s="1"/>
  <c r="F16" i="13"/>
  <c r="F15" i="13"/>
  <c r="F17" i="13"/>
  <c r="F5" i="13"/>
  <c r="F4" i="13"/>
  <c r="F8" i="13"/>
  <c r="F3" i="13"/>
  <c r="F6" i="13"/>
  <c r="F7" i="13"/>
  <c r="F9" i="13"/>
  <c r="F10" i="13"/>
  <c r="F11" i="13"/>
  <c r="F12" i="13"/>
  <c r="F13" i="13"/>
  <c r="F14" i="13"/>
  <c r="F18" i="1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Liu  Jingqi</author>
    <author>tc={94D2A52B-E3AA-471C-897B-44F1B8B5D3DA}</author>
  </authors>
  <commentList>
    <comment ref="G1" authorId="0" shapeId="0" xr:uid="{5BBFD5CF-57E1-4B28-96B0-73CC51C7C0C4}">
      <text>
        <r>
          <rPr>
            <b/>
            <sz val="9"/>
            <color indexed="81"/>
            <rFont val="Tahoma"/>
            <family val="2"/>
          </rPr>
          <t>Liu  Jingqi:</t>
        </r>
        <r>
          <rPr>
            <sz val="9"/>
            <color indexed="81"/>
            <rFont val="Tahoma"/>
            <family val="2"/>
          </rPr>
          <t xml:space="preserve">
=IFERROR(LEFT(B2, FIND(";", B2) - 1), B2)</t>
        </r>
      </text>
    </comment>
    <comment ref="H1" authorId="0" shapeId="0" xr:uid="{E821BDD8-1A10-44C0-B25F-9B281DDA3677}">
      <text>
        <r>
          <rPr>
            <b/>
            <sz val="9"/>
            <color indexed="81"/>
            <rFont val="Tahoma"/>
            <family val="2"/>
          </rPr>
          <t>Liu  Jingqi:</t>
        </r>
        <r>
          <rPr>
            <sz val="9"/>
            <color indexed="81"/>
            <rFont val="Tahoma"/>
            <family val="2"/>
          </rPr>
          <t xml:space="preserve">
=IFERROR(LEFT(scopus_2nd_107.xlsx!$I2, FIND(";", scopus_2nd_107.xlsx!$I2) - 1), scopus_2nd_107.xlsx!$I2)</t>
        </r>
      </text>
    </comment>
    <comment ref="K1" authorId="0" shapeId="0" xr:uid="{E6D07D70-79AF-40D2-94B6-61D96DCA3076}">
      <text>
        <r>
          <rPr>
            <b/>
            <sz val="9"/>
            <color indexed="81"/>
            <rFont val="Tahoma"/>
            <charset val="1"/>
          </rPr>
          <t>Liu  Jingqi:</t>
        </r>
        <r>
          <rPr>
            <sz val="9"/>
            <color indexed="81"/>
            <rFont val="Tahoma"/>
            <charset val="1"/>
          </rPr>
          <t xml:space="preserve">
empirical (experiments, survey, interview, case study), 
conceptual (theories, models, frameworks)</t>
        </r>
      </text>
    </comment>
    <comment ref="L1" authorId="0" shapeId="0" xr:uid="{9F02C5B6-7BC7-49FA-B93F-8CB6C1C4736E}">
      <text>
        <r>
          <rPr>
            <b/>
            <sz val="9"/>
            <color indexed="81"/>
            <rFont val="Tahoma"/>
          </rPr>
          <t>Liu  Jingqi:</t>
        </r>
        <r>
          <rPr>
            <sz val="9"/>
            <color indexed="81"/>
            <rFont val="Tahoma"/>
          </rPr>
          <t xml:space="preserve">
experiments, survey, interview, case study...</t>
        </r>
      </text>
    </comment>
    <comment ref="M1" authorId="0" shapeId="0" xr:uid="{92233982-1EF6-437F-BBA9-FA2EA7DE315A}">
      <text>
        <r>
          <rPr>
            <b/>
            <sz val="9"/>
            <color indexed="81"/>
            <rFont val="Tahoma"/>
            <charset val="1"/>
          </rPr>
          <t>Liu  Jingqi:</t>
        </r>
        <r>
          <rPr>
            <sz val="9"/>
            <color indexed="81"/>
            <rFont val="Tahoma"/>
            <charset val="1"/>
          </rPr>
          <t xml:space="preserve">
Techniques; Applications; Value&amp;Impact; Strategy; Governance</t>
        </r>
      </text>
    </comment>
    <comment ref="N1" authorId="0" shapeId="0" xr:uid="{776D831C-3A2D-4888-99C3-3AA056F1B204}">
      <text>
        <r>
          <rPr>
            <b/>
            <sz val="9"/>
            <color indexed="81"/>
            <rFont val="Tahoma"/>
            <charset val="1"/>
          </rPr>
          <t xml:space="preserve">Liu  Jingqi:
</t>
        </r>
        <r>
          <rPr>
            <sz val="9"/>
            <color indexed="81"/>
            <rFont val="Tahoma"/>
            <charset val="1"/>
          </rPr>
          <t xml:space="preserve">
Design: Product concept generation; CAD/CAM automation; Generative design; Engineering drawing interpretation; Rapid prototyping
Manufacturing: Predictive maintenance; Process monitoring; Quality inspection; Work instructions for operators; Human–robot collaboration
Operations: Inventory management; Scheduling &amp; sequencing; Production planning; Order tracking
Supply Chain: Demand forecasting; Supplier selection; Risk mitigation; Logistics planning; Digital twins for supply networks</t>
        </r>
      </text>
    </comment>
    <comment ref="O1" authorId="0" shapeId="0" xr:uid="{DABCFDEE-3D6C-42B7-9A1D-D53623EF3680}">
      <text>
        <r>
          <rPr>
            <b/>
            <sz val="9"/>
            <color indexed="81"/>
            <rFont val="Tahoma"/>
            <charset val="1"/>
          </rPr>
          <t xml:space="preserve">Liu  Jingqi:
</t>
        </r>
        <r>
          <rPr>
            <sz val="9"/>
            <color indexed="81"/>
            <rFont val="Tahoma"/>
            <charset val="1"/>
          </rPr>
          <t xml:space="preserve">
Design: Product concept generation; CAD/CAM automation; Generative design; Engineering drawing interpretation; Rapid prototyping
Manufacturing: Predictive maintenance; Process monitoring; Quality inspection; Work instructions for operators; Human–robot collaboration
Operations: Inventory management; Scheduling &amp; sequencing; Production planning; Order tracking
Supply Chain: Demand forecasting; Supplier selection; Risk mitigation; Logistics planning; Digital twins for supply networks</t>
        </r>
      </text>
    </comment>
    <comment ref="P1" authorId="0" shapeId="0" xr:uid="{2397E743-0267-4ABE-AC89-6EC77ED4F8E9}">
      <text>
        <r>
          <rPr>
            <b/>
            <sz val="9"/>
            <color indexed="81"/>
            <rFont val="Tahoma"/>
            <charset val="1"/>
          </rPr>
          <t>Liu  Jingqi:</t>
        </r>
        <r>
          <rPr>
            <sz val="9"/>
            <color indexed="81"/>
            <rFont val="Tahoma"/>
            <charset val="1"/>
          </rPr>
          <t xml:space="preserve">
Bio/pharma; Auto; Electronic; Machinery; Food</t>
        </r>
      </text>
    </comment>
    <comment ref="R1" authorId="0" shapeId="0" xr:uid="{7A512BD5-C092-4143-941B-DF5384CC06B4}">
      <text>
        <r>
          <rPr>
            <b/>
            <sz val="9"/>
            <color indexed="81"/>
            <rFont val="Tahoma"/>
            <charset val="1"/>
          </rPr>
          <t>Liu  Jingqi:</t>
        </r>
        <r>
          <rPr>
            <sz val="9"/>
            <color indexed="81"/>
            <rFont val="Tahoma"/>
            <charset val="1"/>
          </rPr>
          <t xml:space="preserve">
data augmentation; LLM chatbot; KG‑augmented LLM; LLM enabled digital twin; Multi-modal LLMs</t>
        </r>
      </text>
    </comment>
    <comment ref="S1" authorId="0" shapeId="0" xr:uid="{8A600F3C-5011-4CE6-9E69-E25B6BCCD769}">
      <text>
        <r>
          <rPr>
            <b/>
            <sz val="9"/>
            <color indexed="81"/>
            <rFont val="Tahoma"/>
            <charset val="1"/>
          </rPr>
          <t>Liu  Jingqi:</t>
        </r>
        <r>
          <rPr>
            <sz val="9"/>
            <color indexed="81"/>
            <rFont val="Tahoma"/>
            <charset val="1"/>
          </rPr>
          <t xml:space="preserve">
Productivity, Flexibility, Knowledge retention</t>
        </r>
      </text>
    </comment>
    <comment ref="V1" authorId="0" shapeId="0" xr:uid="{843DC312-F878-4E4D-AB69-678E5782E6C2}">
      <text>
        <r>
          <rPr>
            <b/>
            <sz val="9"/>
            <color indexed="81"/>
            <rFont val="Tahoma"/>
            <charset val="1"/>
          </rPr>
          <t>Liu  Jingqi:</t>
        </r>
        <r>
          <rPr>
            <sz val="9"/>
            <color indexed="81"/>
            <rFont val="Tahoma"/>
            <charset val="1"/>
          </rPr>
          <t xml:space="preserve">
Data availability, Hallucination risk, Integration cost</t>
        </r>
      </text>
    </comment>
    <comment ref="Z1" authorId="0" shapeId="0" xr:uid="{7E6CFAAB-A731-4CAA-9979-612FF07B0152}">
      <text>
        <r>
          <rPr>
            <b/>
            <sz val="9"/>
            <color indexed="81"/>
            <rFont val="Tahoma"/>
          </rPr>
          <t>Liu  Jingqi:</t>
        </r>
        <r>
          <rPr>
            <sz val="9"/>
            <color indexed="81"/>
            <rFont val="Tahoma"/>
          </rPr>
          <t xml:space="preserve">
1 means irrelavant papers
</t>
        </r>
      </text>
    </comment>
    <comment ref="O28" authorId="0" shapeId="0" xr:uid="{5A236838-6787-4CDE-9136-8257FABE63A8}">
      <text>
        <r>
          <rPr>
            <b/>
            <sz val="9"/>
            <color indexed="81"/>
            <rFont val="Tahoma"/>
            <charset val="1"/>
          </rPr>
          <t>Liu  Jingqi:</t>
        </r>
        <r>
          <rPr>
            <sz val="9"/>
            <color indexed="81"/>
            <rFont val="Tahoma"/>
            <charset val="1"/>
          </rPr>
          <t xml:space="preserve">
The paper’s case study focuses on mapping machine specs (e.g., “MaxInjectionFlowRate”) from PDFs into structured AAS instances. These standardized models support monitoring and operational analysis of machines — key aspects of process monitoring in manufacturing.</t>
        </r>
      </text>
    </comment>
    <comment ref="A72" authorId="1" shapeId="0" xr:uid="{94D2A52B-E3AA-471C-897B-44F1B8B5D3DA}">
      <text>
        <t>[Threaded comment]
Your version of Excel allows you to read this threaded comment; however, any edits to it will get removed if the file is opened in a newer version of Excel. Learn more: https://go.microsoft.com/fwlink/?linkid=870924
Comment:
    From here on: newly added on Jan 14</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Liu  Jingqi</author>
  </authors>
  <commentList>
    <comment ref="G1" authorId="0" shapeId="0" xr:uid="{BD17E530-7B42-4565-95AA-AAD47B9C1C61}">
      <text>
        <r>
          <rPr>
            <b/>
            <sz val="9"/>
            <color indexed="81"/>
            <rFont val="Tahoma"/>
            <family val="2"/>
          </rPr>
          <t>Liu  Jingqi:</t>
        </r>
        <r>
          <rPr>
            <sz val="9"/>
            <color indexed="81"/>
            <rFont val="Tahoma"/>
            <family val="2"/>
          </rPr>
          <t xml:space="preserve">
=IFERROR(LEFT(B2, FIND(";", B2) - 1), B2)</t>
        </r>
      </text>
    </comment>
    <comment ref="H1" authorId="0" shapeId="0" xr:uid="{655B1CE4-C2B6-40C2-B4A7-38D9481A1392}">
      <text>
        <r>
          <rPr>
            <b/>
            <sz val="9"/>
            <color indexed="81"/>
            <rFont val="Tahoma"/>
            <family val="2"/>
          </rPr>
          <t>Liu  Jingqi:</t>
        </r>
        <r>
          <rPr>
            <sz val="9"/>
            <color indexed="81"/>
            <rFont val="Tahoma"/>
            <family val="2"/>
          </rPr>
          <t xml:space="preserve">
=IFERROR(LEFT(scopus_2nd_107.xlsx!$I2, FIND(";", scopus_2nd_107.xlsx!$I2) - 1), scopus_2nd_107.xlsx!$I2)</t>
        </r>
      </text>
    </comment>
    <comment ref="K1" authorId="0" shapeId="0" xr:uid="{B8AF7EA7-C33A-49D9-85BD-876577CCFEDD}">
      <text>
        <r>
          <rPr>
            <b/>
            <sz val="9"/>
            <color indexed="81"/>
            <rFont val="Tahoma"/>
            <charset val="1"/>
          </rPr>
          <t>Liu  Jingqi:</t>
        </r>
        <r>
          <rPr>
            <sz val="9"/>
            <color indexed="81"/>
            <rFont val="Tahoma"/>
            <charset val="1"/>
          </rPr>
          <t xml:space="preserve">
empirical (experiments, survey, interview, case study), 
conceptual (theories, models, frameworks)</t>
        </r>
      </text>
    </comment>
    <comment ref="L1" authorId="0" shapeId="0" xr:uid="{047CFFCB-C320-4D62-B621-ED6E6502BE38}">
      <text>
        <r>
          <rPr>
            <b/>
            <sz val="9"/>
            <color indexed="81"/>
            <rFont val="Tahoma"/>
          </rPr>
          <t>Liu  Jingqi:</t>
        </r>
        <r>
          <rPr>
            <sz val="9"/>
            <color indexed="81"/>
            <rFont val="Tahoma"/>
          </rPr>
          <t xml:space="preserve">
experiments, survey, interview, case study...</t>
        </r>
      </text>
    </comment>
    <comment ref="M1" authorId="0" shapeId="0" xr:uid="{D4E1F713-C484-4D0B-A092-18870DD175CF}">
      <text>
        <r>
          <rPr>
            <b/>
            <sz val="9"/>
            <color indexed="81"/>
            <rFont val="Tahoma"/>
            <charset val="1"/>
          </rPr>
          <t>Liu  Jingqi:</t>
        </r>
        <r>
          <rPr>
            <sz val="9"/>
            <color indexed="81"/>
            <rFont val="Tahoma"/>
            <charset val="1"/>
          </rPr>
          <t xml:space="preserve">
Techniques; Applications; Value&amp;Impact; Strategy; Governance</t>
        </r>
      </text>
    </comment>
    <comment ref="N1" authorId="0" shapeId="0" xr:uid="{06827710-43DA-43AC-B577-AC918EFEF442}">
      <text>
        <r>
          <rPr>
            <b/>
            <sz val="9"/>
            <color indexed="81"/>
            <rFont val="Tahoma"/>
            <charset val="1"/>
          </rPr>
          <t xml:space="preserve">Liu  Jingqi:
</t>
        </r>
        <r>
          <rPr>
            <sz val="9"/>
            <color indexed="81"/>
            <rFont val="Tahoma"/>
            <charset val="1"/>
          </rPr>
          <t xml:space="preserve">
Design: Product concept generation; CAD/CAM automation; Generative design; Engineering drawing interpretation; Rapid prototyping
Manufacturing: Predictive maintenance; Process monitoring; Quality inspection; Work instructions for operators; Human–robot collaboration
Operations: Inventory management; Scheduling &amp; sequencing; Production planning; Order tracking
Supply Chain: Demand forecasting; Supplier selection; Risk mitigation; Logistics planning; Digital twins for supply networks</t>
        </r>
      </text>
    </comment>
    <comment ref="O1" authorId="0" shapeId="0" xr:uid="{7BFB8835-77B5-4FB2-A4C8-7E673F98A8B3}">
      <text>
        <r>
          <rPr>
            <b/>
            <sz val="9"/>
            <color indexed="81"/>
            <rFont val="Tahoma"/>
            <charset val="1"/>
          </rPr>
          <t xml:space="preserve">Liu  Jingqi:
</t>
        </r>
        <r>
          <rPr>
            <sz val="9"/>
            <color indexed="81"/>
            <rFont val="Tahoma"/>
            <charset val="1"/>
          </rPr>
          <t xml:space="preserve">
Design: Product concept generation; CAD/CAM automation; Generative design; Engineering drawing interpretation; Rapid prototyping
Manufacturing: Predictive maintenance; Process monitoring; Quality inspection; Work instructions for operators; Human–robot collaboration
Operations: Inventory management; Scheduling &amp; sequencing; Production planning; Order tracking
Supply Chain: Demand forecasting; Supplier selection; Risk mitigation; Logistics planning; Digital twins for supply networks</t>
        </r>
      </text>
    </comment>
    <comment ref="P1" authorId="0" shapeId="0" xr:uid="{B85EECCE-96EE-4955-85EB-1C34FDD8A690}">
      <text>
        <r>
          <rPr>
            <b/>
            <sz val="9"/>
            <color indexed="81"/>
            <rFont val="Tahoma"/>
            <charset val="1"/>
          </rPr>
          <t>Liu  Jingqi:</t>
        </r>
        <r>
          <rPr>
            <sz val="9"/>
            <color indexed="81"/>
            <rFont val="Tahoma"/>
            <charset val="1"/>
          </rPr>
          <t xml:space="preserve">
Bio/pharma; Auto; Electronic; Machinery; Food</t>
        </r>
      </text>
    </comment>
    <comment ref="R1" authorId="0" shapeId="0" xr:uid="{DA057EF4-51D8-46A3-840A-137B7B012935}">
      <text>
        <r>
          <rPr>
            <b/>
            <sz val="9"/>
            <color indexed="81"/>
            <rFont val="Tahoma"/>
            <charset val="1"/>
          </rPr>
          <t>Liu  Jingqi:</t>
        </r>
        <r>
          <rPr>
            <sz val="9"/>
            <color indexed="81"/>
            <rFont val="Tahoma"/>
            <charset val="1"/>
          </rPr>
          <t xml:space="preserve">
data augmentation; LLM chatbot; KG‑augmented LLM; LLM enabled digital twin; Multi-modal LLMs</t>
        </r>
      </text>
    </comment>
    <comment ref="S1" authorId="0" shapeId="0" xr:uid="{B904B1FF-EFEB-4DED-AFA6-3E0084DF3AB1}">
      <text>
        <r>
          <rPr>
            <b/>
            <sz val="9"/>
            <color indexed="81"/>
            <rFont val="Tahoma"/>
            <charset val="1"/>
          </rPr>
          <t>Liu  Jingqi:</t>
        </r>
        <r>
          <rPr>
            <sz val="9"/>
            <color indexed="81"/>
            <rFont val="Tahoma"/>
            <charset val="1"/>
          </rPr>
          <t xml:space="preserve">
Productivity, Flexibility, Knowledge retention</t>
        </r>
      </text>
    </comment>
    <comment ref="V1" authorId="0" shapeId="0" xr:uid="{100AEF2F-F661-41B7-9D74-5220B1055829}">
      <text>
        <r>
          <rPr>
            <b/>
            <sz val="9"/>
            <color indexed="81"/>
            <rFont val="Tahoma"/>
            <charset val="1"/>
          </rPr>
          <t>Liu  Jingqi:</t>
        </r>
        <r>
          <rPr>
            <sz val="9"/>
            <color indexed="81"/>
            <rFont val="Tahoma"/>
            <charset val="1"/>
          </rPr>
          <t xml:space="preserve">
Data availability, Hallucination risk, Integration cost</t>
        </r>
      </text>
    </comment>
    <comment ref="X1" authorId="0" shapeId="0" xr:uid="{664B1DE1-4072-4298-B7C2-E8C3CB0708CD}">
      <text>
        <r>
          <rPr>
            <b/>
            <sz val="9"/>
            <color indexed="81"/>
            <rFont val="Tahoma"/>
          </rPr>
          <t>Liu  Jingqi:</t>
        </r>
        <r>
          <rPr>
            <sz val="9"/>
            <color indexed="81"/>
            <rFont val="Tahoma"/>
          </rPr>
          <t xml:space="preserve">
1 means irrelavant papers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Liu  Jingqi</author>
  </authors>
  <commentList>
    <comment ref="I1" authorId="0" shapeId="0" xr:uid="{B576EB70-DBB1-4AA6-9CF6-AF8F7064F77A}">
      <text>
        <r>
          <rPr>
            <b/>
            <sz val="9"/>
            <color indexed="81"/>
            <rFont val="Tahoma"/>
            <charset val="1"/>
          </rPr>
          <t>Liu  Jingqi:</t>
        </r>
        <r>
          <rPr>
            <sz val="9"/>
            <color indexed="81"/>
            <rFont val="Tahoma"/>
            <charset val="1"/>
          </rPr>
          <t xml:space="preserve">
narrative; systematic LR</t>
        </r>
      </text>
    </comment>
    <comment ref="J1" authorId="0" shapeId="0" xr:uid="{8D584167-141F-41C5-945E-62CBB6359AF2}">
      <text>
        <r>
          <rPr>
            <b/>
            <sz val="9"/>
            <color indexed="81"/>
            <rFont val="Tahoma"/>
            <charset val="1"/>
          </rPr>
          <t>Liu  Jingqi:</t>
        </r>
        <r>
          <rPr>
            <sz val="9"/>
            <color indexed="81"/>
            <rFont val="Tahoma"/>
            <charset val="1"/>
          </rPr>
          <t xml:space="preserve">
Techniques; Applications; Value&amp;Impact; Strategy; Governance</t>
        </r>
      </text>
    </comment>
    <comment ref="K1" authorId="0" shapeId="0" xr:uid="{A6156044-E037-49F1-BA8C-04533FF74F95}">
      <text>
        <r>
          <rPr>
            <b/>
            <sz val="9"/>
            <color indexed="81"/>
            <rFont val="Tahoma"/>
            <charset val="1"/>
          </rPr>
          <t>Liu  Jingqi:</t>
        </r>
        <r>
          <rPr>
            <sz val="9"/>
            <color indexed="81"/>
            <rFont val="Tahoma"/>
            <charset val="1"/>
          </rPr>
          <t xml:space="preserve">
Pre-Production (Design; Planning &amp; Scheduling); 
Production/Shop Floor (Maintenance; Quality; Process control; Workforce support; Human-robot collaboration); 
Post-Production (Logistics; Sustainability) 
</t>
        </r>
      </text>
    </comment>
    <comment ref="L1" authorId="0" shapeId="0" xr:uid="{18ECCB34-F712-4518-9FC5-6126E3764752}">
      <text>
        <r>
          <rPr>
            <b/>
            <sz val="9"/>
            <color indexed="81"/>
            <rFont val="Tahoma"/>
            <charset val="1"/>
          </rPr>
          <t>Liu  Jingqi:</t>
        </r>
        <r>
          <rPr>
            <sz val="9"/>
            <color indexed="81"/>
            <rFont val="Tahoma"/>
            <charset val="1"/>
          </rPr>
          <t xml:space="preserve">
data augmentation; LLM bot; LLM enabled knowledge graph; LLM enabled digital twin; Multi-modal LLMs</t>
        </r>
      </text>
    </comment>
    <comment ref="M1" authorId="0" shapeId="0" xr:uid="{5BE90B68-3D14-4E7F-9E7F-F76F108B440C}">
      <text>
        <r>
          <rPr>
            <b/>
            <sz val="9"/>
            <color indexed="81"/>
            <rFont val="Tahoma"/>
            <charset val="1"/>
          </rPr>
          <t>Liu  Jingqi:</t>
        </r>
        <r>
          <rPr>
            <sz val="9"/>
            <color indexed="81"/>
            <rFont val="Tahoma"/>
            <charset val="1"/>
          </rPr>
          <t xml:space="preserve">
Data availability, Hallucination risk, Integration cost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<sst xmlns="http://schemas.openxmlformats.org/spreadsheetml/2006/main" count="4531" uniqueCount="2431">
  <si>
    <t>Paper title</t>
  </si>
  <si>
    <t>Authors</t>
  </si>
  <si>
    <t>Year</t>
  </si>
  <si>
    <t>Paper type</t>
  </si>
  <si>
    <t>First author</t>
  </si>
  <si>
    <t>First author affiliation</t>
  </si>
  <si>
    <t>Embodied intelligence in manufacturing: leveraging large language models for autonomous industrial robotics</t>
  </si>
  <si>
    <t>Customization and personalization of large language models for engineering design</t>
  </si>
  <si>
    <t>ProcessCarbonAgent: A large language models-empowered autonomous agent for decision-making in manufacturing carbon emission management</t>
  </si>
  <si>
    <t>Ontology-integrated tuning of large language model for intelligent maintenance</t>
  </si>
  <si>
    <t>OmEGa(Ω): Ontology-based information extraction framework for constructing task-centric knowledge graph from manufacturing documents with large language model</t>
  </si>
  <si>
    <t>An automatic machine fault identification method using the knowledge graph–embedded large language model</t>
  </si>
  <si>
    <t>A large language model-enabled machining process knowledge graph construction method for intelligent process planning</t>
  </si>
  <si>
    <t>Large language model assisted fine-grained knowledge graph construction for robotic fault diagnosis</t>
  </si>
  <si>
    <t>Leveraging error-assisted fine-tuning large language models for manufacturing excellence</t>
  </si>
  <si>
    <t>An LLM-based approach for enabling seamless Human-Robot collaboration in assembly</t>
  </si>
  <si>
    <t>From analogy to innovation: A creative conceptual design approach leveraging large language models</t>
  </si>
  <si>
    <t>CausalKGPT: Industrial structure causal knowledge-enhanced large language model for cause analysis of quality problems in aerospace product manufacturing</t>
  </si>
  <si>
    <t>Large language model-enabled multi-agent self-organised approach for personalised rehabilitation assistive devices design</t>
  </si>
  <si>
    <t>An advanced retrieval-augmented generation system for manufacturing quality control</t>
  </si>
  <si>
    <t>A knowledge-graph enhanced large language model-based fault diagnostic reasoning and maintenance decision support pipeline towards industry 5.0</t>
  </si>
  <si>
    <t>Large language model-driven multi-agent systems for improving production efficiency and reducing carbon emissions in manufacturing</t>
  </si>
  <si>
    <t>Interoperable information modelling leveraging asset administration shell and large language model for quality control toward zero defect manufacturing</t>
  </si>
  <si>
    <t>An intelligent energy management method for the manufacturing systems using the knowledge graph and large language model</t>
  </si>
  <si>
    <t>Knowledge extraction for additive manufacturing process via named entity recognition with LLMs</t>
  </si>
  <si>
    <t>Human-LLM collaboration in generative design for customization</t>
  </si>
  <si>
    <t>IIoT-enabled digital twin for legacy and smart factory machines with LLM integration</t>
  </si>
  <si>
    <t>FCLLM-DT: Enpowering Federated Continual Learning With Large Language Models for Digital-Twin-Based Industrial IoT</t>
  </si>
  <si>
    <t>MASC: Large language model-based multi-agent scheduling chain for flexible job shop scheduling problem</t>
  </si>
  <si>
    <t>LLM-MANUF: An integrated framework of Fine-Tuning large language models for intelligent Decision-Making in manufacturing</t>
  </si>
  <si>
    <t>A five-dimensional digital twin framework driven by large language models-enhanced RL for CNC systems</t>
  </si>
  <si>
    <t>An LLM-based vision and language cobot navigation approach for Human-centric Smart Manufacturing</t>
  </si>
  <si>
    <t>Leveraging large language models for Human-Machine collaborative troubleshooting of complex industrial equipment faults</t>
  </si>
  <si>
    <t>ChatCNC: Conversational machine monitoring via large language model and real-time data retrieval augmented generation</t>
  </si>
  <si>
    <t>Dual data mapping with fine-tuned large language models and asset administration shells toward interoperable knowledge representation</t>
  </si>
  <si>
    <t>Empowering LLMs by hybrid retrieval-augmented generation for domain-centric Q&amp;A in smart manufacturing</t>
  </si>
  <si>
    <t>A blockchain-based LLM-driven energy-efficient scheduling system towards distributed multi-agent manufacturing scenario of new energy vehicles within the circular economy</t>
  </si>
  <si>
    <t>A novel approach to voice of customer extraction using GPT-3.5 Turbo: linking advanced NLP and Lean Six Sigma 4.0</t>
  </si>
  <si>
    <t>Chat with MES: LLM-driven user interface for manipulating garment manufacturing system through natural language</t>
  </si>
  <si>
    <t>Assessment of a large language model based digital intelligent assistant in assembly manufacturing</t>
  </si>
  <si>
    <t>Foundation models assist in human–robot collaboration assembly</t>
  </si>
  <si>
    <t>Probing a novel machine tool fault reasoning and maintenance service recommendation approach through data-knowledge empowered LLMs integrated with AR-assisted maintenance guidance</t>
  </si>
  <si>
    <t>A vision-language-guided and deep reinforcement learning-enabled approach for unstructured human-robot collaborative manufacturing task fulfilment</t>
  </si>
  <si>
    <t>A large manufacturing decision model for human-centric decision-making</t>
  </si>
  <si>
    <t>Revolutionizing glass molding process: ChatGPT’s role in repairing and recycling lenses</t>
  </si>
  <si>
    <t>An LLM-enabled human demonstration-assisted hybrid robot skill synthesis approach for human-robot collaborative assembly</t>
  </si>
  <si>
    <t>Embodied Intelligence Empowering Customized Manufacturing: Architecture, Opportunities, and Challenges</t>
  </si>
  <si>
    <t>A vision-language-guided robotic action planning approach for ambiguity mitigation in human–robot collaborative manufacturing</t>
  </si>
  <si>
    <t>Building a knowledge graph to enrich ChatGPT responses in manufacturing service discovery</t>
  </si>
  <si>
    <t>Generative AI and DT integrated intelligent process planning: a conceptual framework</t>
  </si>
  <si>
    <t>A Generative AI approach to improve in-situ vision tool wear monitoring with scarce data</t>
  </si>
  <si>
    <t>Improving Accuracy of IC Surface Defects Detection via Enhanced-CycleGAN Data Augmentation</t>
  </si>
  <si>
    <t>Generative AI for automated task modelling and task allocation in human robot collaborative applications</t>
  </si>
  <si>
    <t>A generative pre-trained transformer industrial bot to improve operators’ working experience in a small Industry 5.0 factory</t>
  </si>
  <si>
    <t>Generative AI meets CAD: enhancing engineering design to manufacturing processes with large language models</t>
  </si>
  <si>
    <t>Empowering digital twins with large language models for global temporal feature learning</t>
  </si>
  <si>
    <t>Journal of Intelligent Manufacturing</t>
  </si>
  <si>
    <t>CIRP Annals</t>
  </si>
  <si>
    <t>Journal of Manufacturing Systems</t>
  </si>
  <si>
    <t>Advanced Engineering Informatics</t>
  </si>
  <si>
    <t>International Journal of Production Research</t>
  </si>
  <si>
    <t>IEEE Access</t>
  </si>
  <si>
    <t>Robotics and Computer-Integrated Manufacturing</t>
  </si>
  <si>
    <t>IEEE Internet of Things Journal</t>
  </si>
  <si>
    <t>IEEE Transactions on Automation Science and Engineering</t>
  </si>
  <si>
    <t>Journal of Industrial Information Integration</t>
  </si>
  <si>
    <t>International Journal of Advanced Manufacturing Technology</t>
  </si>
  <si>
    <t>Computers in Industry</t>
  </si>
  <si>
    <t>Scientific Reports</t>
  </si>
  <si>
    <t>Journal/Conference</t>
  </si>
  <si>
    <t>Proceedings of the AAAI Conference on Artificial Intelligence</t>
  </si>
  <si>
    <t>Citations</t>
  </si>
  <si>
    <t>Conceptualisation of a multimodal, non-intrusive, generative AI-based assistive system for assembly</t>
  </si>
  <si>
    <t>Frontiers of Engineering Management</t>
  </si>
  <si>
    <t>Author Keywords</t>
  </si>
  <si>
    <t>Assembly; Generative artificial intelligence; Multimodal assistance</t>
  </si>
  <si>
    <t>Autonomous design; Decision-making; Embodied intelligence; Industrial robotics; Large language models (LLMs) agents</t>
  </si>
  <si>
    <t>Artificial intelligence; engineering design; large language model</t>
  </si>
  <si>
    <t>Assisted decision-making; Autonomous agents; Carbon emission management; Knowledge-intensive production; Large language models; Process carbon agent</t>
  </si>
  <si>
    <t>Large language models; Machine learning; Maintenance</t>
  </si>
  <si>
    <t>Document understanding; Information extraction; Knowledge graph; Large language model; Manufacturing and maintenance process; Ontology modeling</t>
  </si>
  <si>
    <t>Fault localization; Knowledge graph; Knowledge inference; Large language model; Machining process</t>
  </si>
  <si>
    <t>Intelligent process planning; Knowledge graphs; Large language models; Machining process</t>
  </si>
  <si>
    <t>Fault Diagnosis; Industrial Robots; Knowledge Graph; Large Language Model</t>
  </si>
  <si>
    <t>Generative AI; Industry 4.0; Knowledge management; Large language model; Smart manufacturing</t>
  </si>
  <si>
    <t>Human robot collaboration; Large language models; Manufacturing systems</t>
  </si>
  <si>
    <t>Analogy; Artificial intelligence; Conceptual product design; Creativity; Innovation; Large language models</t>
  </si>
  <si>
    <t>Aerospace product; Causal knowledge graph-guided prompt; Causal quality-related knowledge graph; Cause analysis of quality defects; Large language model</t>
  </si>
  <si>
    <t>large language model; multi-agent system; personalised product design; Rehabilitation assistive devices; self-organisation</t>
  </si>
  <si>
    <t>Ceramic tile; Knowledge-based systems; Large language models; Quality control; Retrieval-augmented generation</t>
  </si>
  <si>
    <t>Domain-specific large language models; fault diagnostic reasoning; industry 5.0; knowledge graph; mechanical equipment</t>
  </si>
  <si>
    <t>Autonomous Agent; Carbon Emission Management; Customized Production; Digital Twin; Large Language Model; Multi-Agent Systems</t>
  </si>
  <si>
    <t>Asset administration shell; Industry 4.0; Information modelling; Interoperability; Large language model; Ontology; Quality control; Zero defect manufacturing</t>
  </si>
  <si>
    <t>Energy knowledge graph; Energy management; Inference ability; Large Language Models; Manufacturing systems</t>
  </si>
  <si>
    <t>Additive manufacturing; Domain knowledge management; Fused deposition modeling; Large Language Models; Named entity recognition; Retrieval augmented generation</t>
  </si>
  <si>
    <t>Collaborative design; Customization; Generative design; Knowledge-based system; Large language models</t>
  </si>
  <si>
    <t>Digital twin; Industrial Internet of Things; Large language model; Multi-agent framework; Retrieval-augmented generation</t>
  </si>
  <si>
    <t>Digital twins (DTs); federated continual learning (FCL); large language model (LLM); machinery fault diagnosis; retrieval-augmented generation (RAG)</t>
  </si>
  <si>
    <t>Flexible job shop scheduling; Intelligent manufacturing; Large language model; Multi-agent systems</t>
  </si>
  <si>
    <t>Fine-Tuning; Integrated Framework; Intelligent Decision-Making; Large Language Model; Manufacturing</t>
  </si>
  <si>
    <t>CNC system; Digital twin; Large language models; Reinforcement learning</t>
  </si>
  <si>
    <t>Human-centric smart manufacturing; Large language model; Vision and language navigation</t>
  </si>
  <si>
    <t>anomaly detection; data visualization; data-driven decision-making; Industry 4.0; large language models (LLMs); manufacturing; natural language queries; production process optimization; real-time sensor data; shop floor analytics</t>
  </si>
  <si>
    <t>Fault Troubleshooting; Human-Machine Collaboration; Industrial Knowledge Graph; Knowledge Extraction and Reasoning; Large Language Models</t>
  </si>
  <si>
    <t>Conversational machine monitoring; Human-Centric Smart Manufacturing (HCSM); Human-data interaction; Large-Language Model (LLM); Real-time Retrieval Augmented Generation (RAG)</t>
  </si>
  <si>
    <t>Asset administration shell; Digital twin; Entity matching; Interoperability; Knowledge representation; Large language model</t>
  </si>
  <si>
    <t>Additive manufacturing; Design for additive manufacturing; Knowledge graph; Large language model; Q&amp;A; Retrieval-augmented generation; Smart manufacturing</t>
  </si>
  <si>
    <t>Blockchain; Circular economy; Distributed manufacturing; Energy-efficient scheduling; Large language model; Multi-agent</t>
  </si>
  <si>
    <t>digital twin; Human-robot collaboration; large language models; multielement decision-making; scene semantic graph</t>
  </si>
  <si>
    <t>ChatGPT; Industry 4.0; Large language model; Lean Six Sigma; Text mining and analysis; VoC</t>
  </si>
  <si>
    <t>Human-computer interaction; Interactive Manufacturing Execution System; Large language model; LLM-Agent; Text2SQL</t>
  </si>
  <si>
    <t>Artificial intelligence; Chatbot; Experimental design; Industry 4.0; Industry 5.0; Natural language processing</t>
  </si>
  <si>
    <t>Foundation models; Human–robot collaboration; Intelligent manufacture; Large language models; Vision foundation models</t>
  </si>
  <si>
    <t>Augmented reality; data-knowledge empowered LLMs; Fault reasoning; Machine tools; Maintenance service recommendation</t>
  </si>
  <si>
    <t>Human-guided robot learning; Human-robot collaboration; Manufacturing system</t>
  </si>
  <si>
    <t>Digital twin; Generative artificial intelligence; Manufacturing system</t>
  </si>
  <si>
    <t>ChatGPT; CO&lt;sub&gt;2&lt;/sub&gt; emissions; Energy consumption; Glass molding process; Recycling plans</t>
  </si>
  <si>
    <t>Human robot collaboration; human-guided robot learning; manufacturing system</t>
  </si>
  <si>
    <t>Collaborative Reasoning; Customized Manufacturing; Embodied Intelligence; Embodied Manufacturing; Model Fusion; Multi-Source Perception</t>
  </si>
  <si>
    <t>Computer vision; Deep learning; Human–robot collaboration; Smart manufacturing; Vision-language reasoning</t>
  </si>
  <si>
    <t>ChatGPT; Digital supply chain; Knowledge graph; Manufacturing service discovery</t>
  </si>
  <si>
    <t>CAPP; DT; Generative AI; Intelligent process planning; Transformer</t>
  </si>
  <si>
    <t>Computer Vision; GAN; Generative Artificial Intelligence (AI); Neural Networks; Stable Diffusion; Tool Condition Monitoring (TCM); Tool wear; Vertical lathe; Vision Transformers (ViT)</t>
  </si>
  <si>
    <t>Data augmentation; data imbalance; enhanced-CycleGAN; generative AI; surface defects of integrated circuits</t>
  </si>
  <si>
    <t>Human robot collaboration; Large multi-modal models; Production planning</t>
  </si>
  <si>
    <t>Artificial intelligence (AI); Generative pre-trained transformer (GPT); Industrial chatbot; Industry 4.0; Industry 5.0</t>
  </si>
  <si>
    <t>Artificial intelligence; Chat-GPT; Computer-aided design; Design automation; Large language models</t>
  </si>
  <si>
    <t>Digital Twin; Large Language Model (LLM); Multi-Agent Systems (MAS)</t>
  </si>
  <si>
    <t>Fan J.</t>
  </si>
  <si>
    <t>Colabianchi S.</t>
  </si>
  <si>
    <t>Simeone A.</t>
  </si>
  <si>
    <t>Department of Management and Production Engineering, Politecnico di Torino, Corso Duca degli Abruzzi 24, Torino, 10129, Italy</t>
  </si>
  <si>
    <t>Fan H.</t>
  </si>
  <si>
    <t>Jiang Z.</t>
  </si>
  <si>
    <t>Wu T.</t>
  </si>
  <si>
    <t>Wang P.</t>
  </si>
  <si>
    <t>Shim M.</t>
  </si>
  <si>
    <t>Wu P.</t>
  </si>
  <si>
    <t>Xu Q.</t>
  </si>
  <si>
    <t>Liao X.</t>
  </si>
  <si>
    <t>Xia L.</t>
  </si>
  <si>
    <t>Gkournelos C.</t>
  </si>
  <si>
    <t>Wang B.</t>
  </si>
  <si>
    <t>Zhou B.</t>
  </si>
  <si>
    <t>Zhuang W.</t>
  </si>
  <si>
    <t>Heredia Álvaro J.A.</t>
  </si>
  <si>
    <t>Wang T.</t>
  </si>
  <si>
    <t>Ma Y.</t>
  </si>
  <si>
    <t>Shi D.</t>
  </si>
  <si>
    <t>Liu X.</t>
  </si>
  <si>
    <t>Wang X.</t>
  </si>
  <si>
    <t>Gautam A.</t>
  </si>
  <si>
    <t>Xia Y.</t>
  </si>
  <si>
    <t>Wang Z.</t>
  </si>
  <si>
    <t>Du K.</t>
  </si>
  <si>
    <t>Lin X.</t>
  </si>
  <si>
    <t>Keskin Z.</t>
  </si>
  <si>
    <t>Wen S.</t>
  </si>
  <si>
    <t>Jeon J.</t>
  </si>
  <si>
    <t>Wan Y.</t>
  </si>
  <si>
    <t>Liu C.</t>
  </si>
  <si>
    <t>Li X.</t>
  </si>
  <si>
    <t>Shahin M.</t>
  </si>
  <si>
    <t>Yuan Z.</t>
  </si>
  <si>
    <t>Ji Y.</t>
  </si>
  <si>
    <t>Zheng P.</t>
  </si>
  <si>
    <t>Cao S.</t>
  </si>
  <si>
    <t>Yin Y.</t>
  </si>
  <si>
    <t>Tan J.</t>
  </si>
  <si>
    <t>Li Y.</t>
  </si>
  <si>
    <t>Garcia-Perez A.</t>
  </si>
  <si>
    <t>Alam L.</t>
  </si>
  <si>
    <t>Dimitropoulos N.</t>
  </si>
  <si>
    <t>Kiangala K.S.</t>
  </si>
  <si>
    <t>Daareyni A.</t>
  </si>
  <si>
    <t>Sun Y.</t>
  </si>
  <si>
    <t>The Southern University of Science and Technology, Guangdong, Shenzhen, 518055, China</t>
  </si>
  <si>
    <t>College of Mechanical Engineering, Donghua University, Shanghai, 201620, China</t>
  </si>
  <si>
    <t>Department of Electrical and Computer Engineering, Department of Mechanical and Aerospace Engineering, University of Kentucky, Lexington, KY, United States</t>
  </si>
  <si>
    <t>Department of Computer Science, Yonsei University, 50 Yonsei-ro, Sedaemun-gu, Seoul, 03722, South Korea</t>
  </si>
  <si>
    <t>School of Mechanical Engineering, Xi'an Jiaotong University, Xi'an, 710049, China</t>
  </si>
  <si>
    <t>Department of Industrial and Systems Engineering, The Hong Kong Polytechnic University, Hong Kong</t>
  </si>
  <si>
    <t>Dyson School of Design Engineering, Imperial College London, Exhibition Rd, South Kensington, SW7 2AZ, United Kingdom</t>
  </si>
  <si>
    <t>School of Artificial Intelligence, Anhui Polytechnic University, Wuhu, 241000, China</t>
  </si>
  <si>
    <t>Industry 4.0 Chair, Universitat Jaume I, Castellón, Spain</t>
  </si>
  <si>
    <t>School of Software Engineering, Xi'an Jiaotong University, Xi'an, China</t>
  </si>
  <si>
    <t>Fraunhofer Institute for Manufacturing Engineering and Automation IPA, Nobelstraße 12, Stuttgart, 70569, Germany</t>
  </si>
  <si>
    <t>Department of Mechanical Engineering, National University of Singapore, 9 Engineering Drive 1, Singapore</t>
  </si>
  <si>
    <t>School of Mechanical Science and Engineering, Huazhong University of Science and Technology, Wuhan, 430074, China</t>
  </si>
  <si>
    <t>State Key Laboratory of Mechanical Transmission for Advanced Equipment, Chongqing University, Chongqing, 400044, China</t>
  </si>
  <si>
    <t>INC Innovation Center GmbH, Munich, 81539, Germany</t>
  </si>
  <si>
    <t>School of Mechanical Engineering, Pusan National University, Busan, 46241, South Korea</t>
  </si>
  <si>
    <t>Department of Mechanical Engineering, School of Engineering, Cardiff University, Cardiff, CF24 3AA, United Kingdom</t>
  </si>
  <si>
    <t>College of Mechanical and Electrical Engineering, Nanjing University of Aeronautics and Astronautics, Nanjing, 210016, China</t>
  </si>
  <si>
    <t>The College of Electronics and Information Engineering, Shanghai Research Institute for Intelligent Autonomous Systems, the National Key Laboratory of Autonomous Intelligent Unmanned Systems, The Frontiers Science Center for Intelligent Autonomous Systems, Tongji University, Shanghai, 201804, China</t>
  </si>
  <si>
    <t>Mechanical Engineering Department, The University of Texas at San Antonio, San Antonio, TX, United States</t>
  </si>
  <si>
    <t>Department of computer, control, and management engineering Antonio Ruberti, Sapienza University of Rome, Via Ariosto 25, Rome, 00185, Italy</t>
  </si>
  <si>
    <t>School of Engineering Technology, Purdue University, West Lafayette, United States</t>
  </si>
  <si>
    <t>Faculty of Engineering, Technology and Built Environment, UCSI University, Kuala Lumpur, 56000, Malaysia</t>
  </si>
  <si>
    <t>South China University of Technology, School of Mechanical and Automotive Engineering, Guangzhou, 510641, China</t>
  </si>
  <si>
    <t>Edward P. Fitts Department of Industrial &amp; Systems Engineering, North Carolina State University, United States</t>
  </si>
  <si>
    <t>Simulation Systems, ITP Aero, Francisca Delgado 9, Madrid, Alcobendas, Spain</t>
  </si>
  <si>
    <t>The University of Texas at Dallas, Department of Electrical and Computer Engineering, Richardson, 75080, TX, United States</t>
  </si>
  <si>
    <t>Department of Electrical and Smart Systems Engineering, University of South Africa (UNISA), Florida, Gauteng, Johannesburg, 1709, South Africa</t>
  </si>
  <si>
    <t>Faculty of Engineering and Natural Sciences, Tampere University, Korkeakoulunkatu 6, Pirkanmaa, Tampere, 33014, Finland</t>
  </si>
  <si>
    <t>Column Labels</t>
  </si>
  <si>
    <t>Grand Total</t>
  </si>
  <si>
    <t>Row Labels</t>
  </si>
  <si>
    <t>Count of Year</t>
  </si>
  <si>
    <t>Count of Journal/Conference</t>
  </si>
  <si>
    <t>Count of First author</t>
  </si>
  <si>
    <t>Count of First author affiliation</t>
  </si>
  <si>
    <t>Shenyang Institute of Computing Technology, Chinese Academy of Sciences, Shenyang, 110168, China</t>
  </si>
  <si>
    <t>College of Artificial Intelligence, Southwest University, Chongqing, 400715, China</t>
  </si>
  <si>
    <t>Institute of Artificial Intelligence, University of Science and Technology Beijing, Beijing, China</t>
  </si>
  <si>
    <t>Micro-Electronics Research Institute, Hangzhou Dianzi University, Hangzhou, 310005, China</t>
  </si>
  <si>
    <t>The College of Electronics and Information Engineering, Shanghai Research Institute for Intelligent Autonomous Systems, the National Key Laboratory of Autonomous Intelligent Unmanned Systems, The Frontiers Science Center for Intelligent Autonomous System</t>
  </si>
  <si>
    <t>Applications</t>
  </si>
  <si>
    <t>N</t>
  </si>
  <si>
    <t>Affiliation</t>
  </si>
  <si>
    <t>Focus</t>
  </si>
  <si>
    <t>Comment</t>
  </si>
  <si>
    <t>empirical</t>
  </si>
  <si>
    <t>Methodology</t>
  </si>
  <si>
    <t>Design</t>
  </si>
  <si>
    <t>Y</t>
  </si>
  <si>
    <t>assembly</t>
  </si>
  <si>
    <t>VLM</t>
  </si>
  <si>
    <t>ENG</t>
  </si>
  <si>
    <t>Enhancing retrieval-augmented generation for interoperable industrial knowledge representation and inference toward cognitive digital twins</t>
  </si>
  <si>
    <t>Toward Cognitive Digital Twin System of Human–Robot Collaboration Manipulation</t>
  </si>
  <si>
    <t>From concept to manufacturing: evaluating vision-language models for engineering design</t>
  </si>
  <si>
    <t>Integrating Graph Retrieval-Augmented Generation With Large Language Models for Supplier Discovery</t>
  </si>
  <si>
    <t>Intelligent smelting process, management system: Efficient and intelligent management strategy by incorporating large language model</t>
  </si>
  <si>
    <t>Learning packing-and-unpacking synergistic policy via LLM-guided DRL for robust online robotic packing</t>
  </si>
  <si>
    <t>From natural language to simulations: applying AI to automate simulation modelling of logistics systems</t>
  </si>
  <si>
    <t>Large language models for extrapolative modeling of manufacturing processes</t>
  </si>
  <si>
    <t>Graph Structure-Enhanced Large Language Model for Optical Network Fault Diagnosis: An Explainable Alarm Root Cause Localization Approach</t>
  </si>
  <si>
    <t>SHIELD: LLM-Driven Schema Induction for Predictive Analytics in EV Battery Supply Chain Disruptions</t>
  </si>
  <si>
    <t>Do LLMs Understand Visual Anomalies? Uncovering LLM's Capabilities in Zero-shot Anomaly Detection</t>
  </si>
  <si>
    <t>LLM-Enhanced Human-Machine Interaction for Adaptive Decision-Making in Dynamic Manufacturing Process Environments</t>
  </si>
  <si>
    <t>Enhancing Quality Control: A Study on AI and Human Performance in Flip Chip Defect Detection</t>
  </si>
  <si>
    <t>Toward sustainable production: a synthetic dataset framework to accelerate quality control via generative and predictive AI</t>
  </si>
  <si>
    <t>OC-HMAS: Dynamic Self-Organization and Self-Correction in Heterogeneous Multiagent Systems Using Multimodal Large Models</t>
  </si>
  <si>
    <t>Knowledge augmented generalizer specializer: A framework for early stage design exploration</t>
  </si>
  <si>
    <t>Brain-like Cognition-Driven Model Factory for IIoT Fault Diagnosis by Combining LLMs With Small Models</t>
  </si>
  <si>
    <t>Intelligent OPC Engineer Assistant for Semiconductor Manufacturing</t>
  </si>
  <si>
    <t>Inverse design of lattice structures with target mechanical performance via generative adversarial networks considering the effect of process parameters</t>
  </si>
  <si>
    <t>Fan H.; Liu X.; Fuh J.Y.H.; Lu W.F.; Li B.</t>
  </si>
  <si>
    <t>Shi D.; Li J.; Meyer O.; Bauernhansl T.</t>
  </si>
  <si>
    <t>Xu Q.; Qiu F.; Zhou G.; Zhang C.; Ding K.; Chang F.; Lu F.; Yu Y.; Ma D.; Liu J.</t>
  </si>
  <si>
    <t>Xia Y.; Chen Y.; Zhao Y.; Kuang L.; Liu X.; Hu J.; Liu Z.</t>
  </si>
  <si>
    <t>Ma Y.; Zheng S.; Yang Z.; Pan H.; Hong J.</t>
  </si>
  <si>
    <t>Shi D.; Meyer O.; Oberle M.; Bauernhansl T.</t>
  </si>
  <si>
    <t>Shi D.; Liedl P.; Bauernhansl T.</t>
  </si>
  <si>
    <t>Liu C.; Nie Q.</t>
  </si>
  <si>
    <t>Li X.; He B.; Wang Z.; Zhou Y.; Li G.; Li X.</t>
  </si>
  <si>
    <t>Picard C.; Edwards K.M.; Doris A.C.; Man B.; Giannone G.; Alam M.F.; Ahmed F.</t>
  </si>
  <si>
    <t>Xu Q.; Zhou G.; Zhang C.; Chang F.; Cao Y.; Zhao D.</t>
  </si>
  <si>
    <t>Wang X.; Jiang Z.; Xiong Y.; Liu A.</t>
  </si>
  <si>
    <t>Xia L.; Li C.; Zhang C.; Liu S.; Zheng P.</t>
  </si>
  <si>
    <t>Heredia Álvaro J.A.; Barreda J.G.</t>
  </si>
  <si>
    <t>Li Y.; Ko H.; Ameri F.</t>
  </si>
  <si>
    <t>Tan J.; Shi J.; Wu L.; Chen B.; Tang H.; Zhang C.; Zhang W.; Wan J.; Wang S.</t>
  </si>
  <si>
    <t>Zheng P.; Li C.; Fan J.; Wang L.</t>
  </si>
  <si>
    <t>Sun Y.; Zhang Q.; Bao J.; Lu Y.; Liu S.</t>
  </si>
  <si>
    <t>Yin Y.; Wan K.; Li C.; Zheng P., (2)</t>
  </si>
  <si>
    <t>Fu T.; Liu S.; Li P.</t>
  </si>
  <si>
    <t>Shahin M.; Chen F.F.; Hosseinzadeh A.; Maghanaki M.; Eghbalian A.</t>
  </si>
  <si>
    <t>Wu P.; Mou X.; Gong L.; Tu H.; Qiu L.; Yang B.</t>
  </si>
  <si>
    <t>Jeon J.; Sim Y.; Lee H.; Han C.; Yun D.; Kim E.; Nagendra S.L.; Jun M.B.G.; Kim Y.; Lee S.W.; Lee J.</t>
  </si>
  <si>
    <t>Colabianchi S.; Costantino F.; Sabetta N.</t>
  </si>
  <si>
    <t>Li Y.; Starly B.</t>
  </si>
  <si>
    <t>Yang S.; Song S.; Song R.; Cheng J.; Li Y.; Zhang W.</t>
  </si>
  <si>
    <t>Jackson I.; Jesus Saenz M.; Ivanov D.</t>
  </si>
  <si>
    <t>Naghavi Khanghah K.; Patel A.; Malhotra R.; Xu H.</t>
  </si>
  <si>
    <t>Wu T.; Li J.; Bao J.; Liu Q.</t>
  </si>
  <si>
    <t>Liu X.; Erkoyuncu J.A.; Fuh J.Y.H.; Lu W.F.; Li B.</t>
  </si>
  <si>
    <t>Wang Y.; Pang Y.; Liu Y.; Zhang Y.; Zhang L.; Zhang M.; Wang D.</t>
  </si>
  <si>
    <t>Wu P.; Tu H.; Mou X.; Gong L.</t>
  </si>
  <si>
    <t>Li X.; Nassehi A., (1); Hu S.J., (1); Joung B.G.; Gao R.X., (1)</t>
  </si>
  <si>
    <t>Wang B.; Zhao X.; Zuo H.; Song Y.; Han J.; Childs P.; Chen L.</t>
  </si>
  <si>
    <t>Cao S.; Lim W.H.; Zhu Y.J.; Li T.Y.; Liu Z.H.; Sheng H.Y.</t>
  </si>
  <si>
    <t>Gautam A.; Aryal M.R.; Deshpande S.; Padalkar S.; Nikolaenko M.; Tang M.; Anand S.</t>
  </si>
  <si>
    <t>Wang P.; Karigiannis J.; Gao R.X.</t>
  </si>
  <si>
    <t>Wang Z.; Wan C.; Liu J.; Zhang X.; Wang H.; Hu Y.; Hu Z.</t>
  </si>
  <si>
    <t>Liu C.; Song J.; Tang D.; Wang L.; Zhu H.; Cai Q.</t>
  </si>
  <si>
    <t>Jiang Z.; Liu A.; Zhang D.; Xu X.; Dai Y.</t>
  </si>
  <si>
    <t>Simeone A.; Fan Y.; Antonelli D.; Priarone P.C.; Settineri L.</t>
  </si>
  <si>
    <t>Lin X.; Chen W.; Zhou Z.; Li J.; Zhao Y.; Zhang X.</t>
  </si>
  <si>
    <t>Du K.; Yang B.; Xie K.; Dong N.; Zhang Z.; Wang S.; Mo F.</t>
  </si>
  <si>
    <t>Zhou B.; Li X.; Liu T.; Xu K.; Liu W.; Bao J.</t>
  </si>
  <si>
    <t>Wan Y.; Chen Z.; Liu Y.; Chen C.; Packianather M.</t>
  </si>
  <si>
    <t>Cheng Z.-Q.; Dong Y.; Shi A.; Liu W.; Hu Y.; O’Connor J.; Hauptmann A.G.; Whitefoot K.S.</t>
  </si>
  <si>
    <t>Zhuang W.; Pan X.; Wen S.; Yu W.; Li X.; Bao J.</t>
  </si>
  <si>
    <t>Zhu J.; Cai S.; Deng F.; Ooi B.C.; Wu J.</t>
  </si>
  <si>
    <t>Keskin Z.; Joosten D.; Klasen N.; Huber M.; Liu C.; Drescher B.; Schmitt R.H.</t>
  </si>
  <si>
    <t>Cheamsiri W.; Jitpattanakul A.; Muneesawang P.; Wongpatikaseree K.; Hnoohom N.</t>
  </si>
  <si>
    <t>Fan J.; Zheng P.</t>
  </si>
  <si>
    <t>Daareyni A.; Martikkala A.; Mokhtarian H.; Ituarte I.F.</t>
  </si>
  <si>
    <t>Garcia-Perez A.; Gomez-Silva M.J.; de la Escalera-Hueso A.</t>
  </si>
  <si>
    <t>Ji Y.; Zhang Z.; Tang D.; Zheng Y.; Liu C.; Zhao Z.; Li X.</t>
  </si>
  <si>
    <t>Shahin M.; Chen F.F.; Maghanaki M.; Mehrzadi H.; Hosseinzadeh A.</t>
  </si>
  <si>
    <t>Shim M.; Choi H.; Koo H.; Um K.; Lee K.-H.; Lee S.</t>
  </si>
  <si>
    <t>Feng P.; Yang T.; Liang M.; Wang L.; Gao Y.</t>
  </si>
  <si>
    <t>Yuan Z.; Li M.; Liu C.; Han F.; Huang H.; Dai H.-N.</t>
  </si>
  <si>
    <t>Wen S.; Li F.; Zhuang W.; Pan X.; Yu W.; Bao J.; Li X.</t>
  </si>
  <si>
    <t>Gkournelos C.; Konstantinou C.; Makris S., (2)</t>
  </si>
  <si>
    <t>Sahadevan V.; Joshi R.; Borg K.; Singh V.; Singh A.R.; Muhammed B.; Beemaraj S.B.; Joshi A.</t>
  </si>
  <si>
    <t>Liao X.; Chen C.; Wang Z.; Liu Y.; Wang T.; Cheng L.</t>
  </si>
  <si>
    <t>Wang T.; Fan J.; Zheng P.</t>
  </si>
  <si>
    <t>Liu Y.; Zhang W.; Bao Z.; Chai X.; Gu M.; Jiang W.; Zhang Z.; Tian Y.; Wang F.-Y.</t>
  </si>
  <si>
    <t>Chen G.; Yang H.; Yu B.; Ren H.</t>
  </si>
  <si>
    <t>Alam L.; Kehtarnavaz N.</t>
  </si>
  <si>
    <t>Duan C.; Wu D.</t>
  </si>
  <si>
    <t>Kiangala K.S.; Wang Z.</t>
  </si>
  <si>
    <t>Dimitropoulos N.; Kaipis M.; Giartzas S.; Michalos G., (2)</t>
  </si>
  <si>
    <t>Computers and Industrial Engineering</t>
  </si>
  <si>
    <t>Artificial Intelligence Review</t>
  </si>
  <si>
    <t>Journal of Computing and Information Science in Engineering</t>
  </si>
  <si>
    <t>EMNLP 2024 - 2024 Conference on Empirical Methods in Natural Language Processing, Proceedings of the Industry Track</t>
  </si>
  <si>
    <t>MM 2024 - Proceedings of the 32nd ACM International Conference on Multimedia</t>
  </si>
  <si>
    <t>Picard C.</t>
  </si>
  <si>
    <t>Fu T.</t>
  </si>
  <si>
    <t>Yang S.</t>
  </si>
  <si>
    <t>Jackson I.</t>
  </si>
  <si>
    <t>Naghavi Khanghah K.</t>
  </si>
  <si>
    <t>Wang Y.</t>
  </si>
  <si>
    <t>Cheng Z.-Q.</t>
  </si>
  <si>
    <t>Zhu J.</t>
  </si>
  <si>
    <t>Cheamsiri W.</t>
  </si>
  <si>
    <t>Feng P.</t>
  </si>
  <si>
    <t>Sahadevan V.</t>
  </si>
  <si>
    <t>Liu Y.</t>
  </si>
  <si>
    <t>Chen G.</t>
  </si>
  <si>
    <t>Duan C.</t>
  </si>
  <si>
    <t>Department of Mechanical Engineering, Massachusetts Institute of Technology, Cambridge, 02139, MA, United States</t>
  </si>
  <si>
    <t>School of Mechanical Engineering, Xi’an Jiaotong University, No.28 Xianning West Road, Xi’an, 710049, China</t>
  </si>
  <si>
    <t>School of System Design and Intelligent Manufacturing, Southern University of Science and Technology, Shenzhen, 518055, China</t>
  </si>
  <si>
    <t>School of Manufacturing Systems and Networks, Arizona State University, Mesa, 85212, AZ, United States</t>
  </si>
  <si>
    <t>Department of Industrial and Systems Engineering, The Hong Kong Polytechnic University, Hong Kong Special Administrative Region, China</t>
  </si>
  <si>
    <t>The School of Mechanical Engineering, Zhejiang University, Hangzhou, 310058, China</t>
  </si>
  <si>
    <t>Department of Urology, Qilu Hospital of Shandong University, Jinan, China</t>
  </si>
  <si>
    <t>Center for Transportation &amp; Logistics, Massachusetts Institute of Technology, Cambridge, MA, United States</t>
  </si>
  <si>
    <t>School of Mechanical, Aerospace and Manufacturing Engineering, University of Connecticut, Storrs, 06269, CT, United States</t>
  </si>
  <si>
    <t>Beijing University of Posts and Telecommunications, State Key Laboratory of Information Photonics and Optical Communications, Beijing, 100876, China</t>
  </si>
  <si>
    <t>Center for Global Design and Manufacturing, Siemens Simulation Technology Center, Department of Mechanical &amp; Materials Engineering, University of Cincinnati, Cincinnati, 45221, OH, United States</t>
  </si>
  <si>
    <t>Carnegie Mellon University, United States</t>
  </si>
  <si>
    <t>Beijing Institute of Technology, Beijing, China</t>
  </si>
  <si>
    <t>Faculty of Engineering, Mahidol University, Image Information and Intelligence Laboratory, Department of Computer Engineering, Nakhon Pathom, 73170, Thailand</t>
  </si>
  <si>
    <t>Guangdong Provincial Key Laboratory of Cyber-Physical System, Guangdong University of Technology, Guangzhou, China</t>
  </si>
  <si>
    <t>Department of Mechanical, Aerospace, and Industrial Engineering, The University of Texas at San Antonio, San Antonio, United States</t>
  </si>
  <si>
    <t>Dalian Maritime University, School of Navigation, Dalian, 116026, China</t>
  </si>
  <si>
    <t>Laboratory for Manufacturing Systems and Automation, Department of Mechanical Engineering and Aeronautics, University of Patras, Patras, Greece</t>
  </si>
  <si>
    <t>Indian Institute of Science Bengaluru, India</t>
  </si>
  <si>
    <t>China University of Petroleum (East China), College of Computer Science and Technology, Qingdao, 266580, China</t>
  </si>
  <si>
    <t>Chinese University of Hong Kong, Hong Kong</t>
  </si>
  <si>
    <t>Department of Mechanical and Aerospace Engineering, College of Engineering and Computer Science, University of Central Florida, Orlando, 32816, FL, United States</t>
  </si>
  <si>
    <t>Asset administration shell; Digital twin; Entity matching; Large language model; Retrieval-augmented generation</t>
  </si>
  <si>
    <t>artificial intelligence; big data and analytics; cybermanufacturing; data-driven engineering; knowledge engineering; machine learning for engineering applications; manufacturing automation</t>
  </si>
  <si>
    <t>ChatGPT; intelligent Q &amp; A; large language models; process management; smelting steel</t>
  </si>
  <si>
    <t>Deep reinforcement learning; Large Language Model; Online 3D-BPP; Robotic packing; Warehouse Automation</t>
  </si>
  <si>
    <t>artificial intelligence; Generative AI; GPT-3; NLP; simulation; supply chain</t>
  </si>
  <si>
    <t>Iterative model refinement; Large language model; Manufacturing process modelling; Retrieval-augmented generation</t>
  </si>
  <si>
    <t>Fault Management; Graph Structure; Large Language Models; Optical Network; Root Cause Localization</t>
  </si>
  <si>
    <t>industrial manufacturing; large vision-language model; visual anomaly detection; zero-shot detection</t>
  </si>
  <si>
    <t>cross section; deep learning; Flip chip defect; generative artificial intelligence; object detection; YOLO models</t>
  </si>
  <si>
    <t>Generative AI; Lean manufacturing; Sustainability; Synthetic dataset; Waste reduction</t>
  </si>
  <si>
    <t>Embodied intelligence; environmental perception; Internet of Things (IoT); large language model (LLM); multiagent system (MAS); task scheduling; vision language model (VLM)</t>
  </si>
  <si>
    <t>Brain-like cognition; fault diagnosis; generative vertical federated learning; LLMs; model factory; small models</t>
  </si>
  <si>
    <t>Additive manufacturing; Generative adversarial networks; Inverse design; Lattice structures; Machine learning</t>
  </si>
  <si>
    <t>MGT</t>
  </si>
  <si>
    <t>(blank)</t>
  </si>
  <si>
    <t>Key findings</t>
  </si>
  <si>
    <t>Application Domain</t>
  </si>
  <si>
    <t>Use case</t>
  </si>
  <si>
    <t>GenAI Technology Type</t>
  </si>
  <si>
    <t>Reported Impacts of GenAI</t>
  </si>
  <si>
    <t>Enablers / Success Factors</t>
  </si>
  <si>
    <t>Barriers / Challenges</t>
  </si>
  <si>
    <t>Relevance Rating (1–5)</t>
  </si>
  <si>
    <t>Quality Rating (1–5)</t>
  </si>
  <si>
    <t>Thoery lens</t>
  </si>
  <si>
    <t>Manufacturing</t>
  </si>
  <si>
    <t>MGT/Tech/ENG</t>
  </si>
  <si>
    <t>Generative design</t>
  </si>
  <si>
    <t>LLM chatbot</t>
  </si>
  <si>
    <t>Supply Chain</t>
  </si>
  <si>
    <t>Conceptual development + case study</t>
  </si>
  <si>
    <t>Aerospace</t>
  </si>
  <si>
    <t>KG‑augmented LLM</t>
  </si>
  <si>
    <t>Tech details</t>
  </si>
  <si>
    <t>a KG-enabled fine-tuned LLM on quality issues Q&amp;A in aerospace; data is confidential</t>
  </si>
  <si>
    <t>human–robot collaboration</t>
  </si>
  <si>
    <t>fine-tuned LLM on robot code generation and more</t>
  </si>
  <si>
    <t>human-AI collaboration principles</t>
  </si>
  <si>
    <t>directly using Codex for code completion for logistics modelling</t>
  </si>
  <si>
    <t>modelling of queuing &amp; inventory control</t>
  </si>
  <si>
    <t>automotive</t>
  </si>
  <si>
    <t>automotive &amp; machinery</t>
  </si>
  <si>
    <t>not in-depth tech paper</t>
  </si>
  <si>
    <t>Techniques; Applications</t>
  </si>
  <si>
    <t>Design science research</t>
  </si>
  <si>
    <t>LLM enabled digital twin</t>
  </si>
  <si>
    <t>low quality paper</t>
  </si>
  <si>
    <t>another HRC work: commercial LLMs for adaptive task planning and Python robot code generation</t>
  </si>
  <si>
    <t>supplier identification</t>
  </si>
  <si>
    <t>KG+ChatGPT for supplier identification</t>
  </si>
  <si>
    <t>Case study</t>
  </si>
  <si>
    <t>additive manufacturing</t>
  </si>
  <si>
    <t>occasional hallucinations</t>
  </si>
  <si>
    <t>process planning</t>
  </si>
  <si>
    <t>proposes conceptual framework--&gt;verify with a prototype. lacking extensive quantitative evaluation</t>
  </si>
  <si>
    <t>Lab experiment</t>
  </si>
  <si>
    <t>Applications; Value&amp;Impact</t>
  </si>
  <si>
    <t>RAG chatbot dev &amp; experiments like in SFS; BUT: participants are students, not workers; in lab instead of industrial context</t>
  </si>
  <si>
    <t>quality management</t>
  </si>
  <si>
    <t>Lean Six Sigma</t>
  </si>
  <si>
    <t>simple usecase of chatgpt in extracting VoC, lacks quantitative evaluation</t>
  </si>
  <si>
    <t>maintenance</t>
  </si>
  <si>
    <t>fine-tuned LLM on aircraft maintenance</t>
  </si>
  <si>
    <t>steelmaking</t>
  </si>
  <si>
    <t>Textile</t>
  </si>
  <si>
    <t>LLM agents</t>
  </si>
  <si>
    <t>agent framework; single-case textile validation</t>
  </si>
  <si>
    <t>Techniques</t>
  </si>
  <si>
    <t>anomaly detection</t>
  </si>
  <si>
    <t>LLM chatbot; VLM</t>
  </si>
  <si>
    <t>find tune LLM + VLM for anomaly detection</t>
  </si>
  <si>
    <t>training-free LLM + VLM for anomaly detection</t>
  </si>
  <si>
    <t>LLM acts as both a semantic mapper (to standards like ECLASS) and a natural-language interface over AAS data</t>
  </si>
  <si>
    <t>the LLM is the reasoning and coordination brain:
1. Knowledge-guided reasoning (BLCoT): The LLM is prompted with a brain-like chain-of-thought (BLCoT) template and a fault knowledge graph.
2. Supervisor of a “model factory”: The LLM acts as a supervisor that coordinates many small, specialized models (built via a hypernetwork)
3. Interactive maintenance assistant: The LLM explains the suspected fault in natural language, outlines why, and proposes next diagnostic checks or maintenance steps.</t>
  </si>
  <si>
    <t>Semiconductor</t>
  </si>
  <si>
    <t xml:space="preserve">data augmentation </t>
  </si>
  <si>
    <t>genAI for image data augmentation</t>
  </si>
  <si>
    <t>Strategy</t>
  </si>
  <si>
    <t>using ChatGPT to design recycling/repair plans for glass molding process lenses. ChatGPT proposes six recycling plans; lab experiments evaluate quality, economics, and green performance.</t>
  </si>
  <si>
    <t>re-manufacturing</t>
  </si>
  <si>
    <t>LLM-driven schema learning to construct a comprehensive knowledge library</t>
  </si>
  <si>
    <t>disruption prediction</t>
  </si>
  <si>
    <t>the LLM translates text + scene context into robot code</t>
  </si>
  <si>
    <t>GenAI role</t>
  </si>
  <si>
    <t>Align — Retrieves and normalizes manufacturer knowledge, translating questions into structured graph queries and answers with provenance.</t>
  </si>
  <si>
    <t>Align — Maps terms to standards and links datasets, grounding queries for interoperable, findable quality data access.</t>
  </si>
  <si>
    <t>Reason — Agents diagnose root causes by interpreting logs, retrieving similar cases, and debating evidence to recommendations.</t>
  </si>
  <si>
    <t>Reason — Plans milling processes from textual know-how and revises steps using digital-twin verification feedback for reliability.</t>
  </si>
  <si>
    <t>Execute — Translates natural-language tasks and scene context into executable robot code with safety checks and guardrails</t>
  </si>
  <si>
    <t>Execute — Translates natural-language tasks into robot code/toolpaths, orchestrating APIs and checks for safe execution</t>
  </si>
  <si>
    <t>LLMs for autonomous industrial robotics planning and execution</t>
  </si>
  <si>
    <t>Ceramic-tile</t>
  </si>
  <si>
    <t>Align — Integrates domain corpus with GPT-3.5 via RAG to ground answers for quality control</t>
  </si>
  <si>
    <r>
      <t xml:space="preserve">Future work could explore its implementation in other industries,  where the integration of external knowledge bases with </t>
    </r>
    <r>
      <rPr>
        <b/>
        <sz val="11"/>
        <color theme="1"/>
        <rFont val="Calibri"/>
        <family val="2"/>
        <scheme val="minor"/>
      </rPr>
      <t>internal operational data</t>
    </r>
    <r>
      <rPr>
        <sz val="11"/>
        <color theme="1"/>
        <rFont val="Calibri"/>
        <family val="2"/>
        <scheme val="minor"/>
      </rPr>
      <t xml:space="preserve"> could further enhance its performance.</t>
    </r>
  </si>
  <si>
    <t>for knowledge extraction; still a lab study, needs real factory logs and broader AM processes</t>
  </si>
  <si>
    <t>Align — Uses GPT-4/Claude-3 to map text entities to a structured FDM taxonomy, grounding knowledge</t>
  </si>
  <si>
    <t>process monitoring</t>
  </si>
  <si>
    <t>Align – GenAI links legacy system data with standard models like AAS by semantically matching and integrating heterogeneous data sources.</t>
  </si>
  <si>
    <t>DT, Uses a fine-tuned LLM to match proprietary manufacturing data to Asset Administration Shells</t>
  </si>
  <si>
    <t>Machinery</t>
  </si>
  <si>
    <t>Augment – LLM generates synthetic bearing signals to replace missing or corrupted sensor data, enriching training sets.</t>
  </si>
  <si>
    <t>synthetic bearing signals</t>
  </si>
  <si>
    <t>fault diagnosis</t>
  </si>
  <si>
    <t>Augment – LLMs generate and label synthetic robotic-fault text, enriching sparse maintenance datasets for model training.</t>
  </si>
  <si>
    <t>genAI for fault text data augmentation</t>
  </si>
  <si>
    <t>Align – LLM maps operator language to CNC database queries, composes context-aware answers, linking speech to shop-floor knowledge</t>
  </si>
  <si>
    <t>5-Why root-cause analysis; human–machine collaboration</t>
  </si>
  <si>
    <t>Align &amp; Reason – GPT-4 aligns text to knowledge graph and reasons interactively with technicians to pinpoint equipment faults.</t>
  </si>
  <si>
    <t>LLM-enabled knowledge semantic parsing and extraction for building a KG</t>
  </si>
  <si>
    <t>Circular-economy principles</t>
  </si>
  <si>
    <t>Reason – LLM reasons over live agent data to generate energy-optimal, delay-aware production schedules</t>
  </si>
  <si>
    <t>too complicated</t>
  </si>
  <si>
    <t>Align &amp; Reason – LLM extracts and structures energy facts into a KG (Align), then reasons via KG-RAG to deliver optimisation answers</t>
  </si>
  <si>
    <t>Operations</t>
  </si>
  <si>
    <t>Align &amp; Reason — Fine-tuned LLM aligns operator language to Operaitona&amp;Maintenance knowledge, then reasons, parsing fault descriptions and synthesizing  maintenance decision plans to support human decision making</t>
  </si>
  <si>
    <t>LLM for fault diagnosis for decision-making: a framework with fine-tuning LLM ensemble + rank + fusion</t>
  </si>
  <si>
    <t>Align &amp; Reason — Align: RAG links queries to domain KG and vetted corpora via constraints and prompts. Reason: LLM synthesizes KG relations and retrieved texts into coherent, context-aware answers</t>
  </si>
  <si>
    <t>LLM to extract and build KG; embed KG into LLM</t>
  </si>
  <si>
    <t>Hybrid KG-RAG</t>
  </si>
  <si>
    <t>fault diagnosis; maintenance</t>
  </si>
  <si>
    <t>Digital twin architecture design</t>
  </si>
  <si>
    <t>Industry 5.0 human-centric &amp; sustainability paradigm</t>
  </si>
  <si>
    <t>Enhance — Connects CSV data to GPT-4 and generates synthetic data for modelling. Decide — Analyzes KPIs, faults, overtime and pollution to recommend safe actions.</t>
  </si>
  <si>
    <t>Process planning</t>
  </si>
  <si>
    <t>Enhance — Annotates extracts and structures machining knowledge into a KG to strengthen planning and decision support.</t>
  </si>
  <si>
    <t>LLM enabled KG</t>
  </si>
  <si>
    <t>human–robot collaboration; assembly</t>
  </si>
  <si>
    <t>Multimodal LLM agent for language-to-reward translation; LLM-guided task decomposition &amp; motion description</t>
  </si>
  <si>
    <t>Enhance — Translates natural-language instructions into structured reward components and motion descriptors for learning. Decide — Decomposes tasks and parameterises rewards, guiding DRL policy search toward feasible assembly behaviours.</t>
  </si>
  <si>
    <t>Enhance — Embeds KG structure into the LLM to enrich knowledge and curb hallucinations. Decide — Infers root causes and proposes troubleshooting actions from symptoms in machining scenarios</t>
  </si>
  <si>
    <t>KG‑augmented LLM: fine-tune LLM using KG embeddings</t>
  </si>
  <si>
    <t>LLM enabled digital twin; LLM agents</t>
  </si>
  <si>
    <t>Enhance — Retrieves manuals and fault logs via RAG, standardizes IIoT streams, aggregates knowledge context for diagnosis. Decide — Diagnoses anomalies using real-time sensors and knowledge base, recommending corrective actions and parameters to operators. Act — Parses natural-language commands to execute machine-control functions, updating printer parameters and positions in real-time safely.</t>
  </si>
  <si>
    <t>multi-agent LLM framework integrated into DT</t>
  </si>
  <si>
    <t>Enhance — Analyzes historical/trajectory data to provide decision references and environment-aligned action probabilities for RL . Decide — Generates and scores candidate actions to guide RL toward safer, low-variation tool-axis trajectories</t>
  </si>
  <si>
    <t>LoRA fine-tuned LLM for CNC axis direction planner</t>
  </si>
  <si>
    <t>process monitoring; fault diagnosis</t>
  </si>
  <si>
    <t>Enhance: schema-aware NL2SQL converts natural prompts into queries with joins, aggregations, filters; a code agent auto-generates Python plots. Decide: the LLM selects features, composes anomaly-centric analyses, highlights deviations, recommends comparisons/time windows, and surfaces diagnostic slices.</t>
  </si>
  <si>
    <t>multi-agent LLM enhances access (NL→SQL + auto-plots) and decides by generating task-specific analyses/visuals that help operators investigate anomalies quickly</t>
  </si>
  <si>
    <t>Enhance — Generates and curates synthetic tool-wear images to enrich scarce datasets and improve classifier reliability</t>
  </si>
  <si>
    <t>quality management/inspection</t>
  </si>
  <si>
    <t>tool image augmentation--&gt; better training of DL algo for quality inspection of tool inserts for machining process</t>
  </si>
  <si>
    <t>process monitoring; fault diagnosis; maintenance; Work instructions for operators (task Q&amp;A)</t>
  </si>
  <si>
    <t>Work instructions for operators (task Q&amp;A)</t>
  </si>
  <si>
    <t>Enhance — LLMs extract and structure multimodal manufacturing knowledge into task-centric ontologies and graphs for reliable reuse</t>
  </si>
  <si>
    <t>using LLM to construct a KG (NER)</t>
  </si>
  <si>
    <t>Logistics planning</t>
  </si>
  <si>
    <t>Enhance — Fuses RGB/InstanceSeg/LiDAR into rich scene descriptions that standardize context for planning; Decide — Decomposes tasks, assigns roles, and plans safe, efficient routes adaptively in real time (15). Act — Issues updated control intents that trigger path replans and agent actions during self-correction</t>
  </si>
  <si>
    <t>the LLM is the planner/orchestrator—it turns mission text + grounded visual cues into who does what, where, and when, and keeps fixing the plan as the environment changes.</t>
  </si>
  <si>
    <t>human-robot collaboration; Logistics planning</t>
  </si>
  <si>
    <t>Enhance — Encodes AAS entities and reranks candidates with CSL-finetuned LLM, improving retrieval robustness and answer correctness</t>
  </si>
  <si>
    <t>an advanced RAG for better retrieval</t>
  </si>
  <si>
    <t>Enhance — Structures and retrieves precise KG subgraphs, aligning free-text faults to reliable domain knowledge. Decide — Synthesises subgraph evidence to reason root causes and propose maintenance guidance from symptoms.</t>
  </si>
  <si>
    <t>KG-enhanced LLM for fault diagnosis &amp; maintenance for cranes</t>
  </si>
  <si>
    <t>human-robot collaboration</t>
  </si>
  <si>
    <t>Decide — Generates task plans, anomaly flags, and schedule reasoning from semantic graph and priors to guide operators</t>
  </si>
  <si>
    <t>integrate scene semantics with prior knowledge of activities into a prompt for GPT-4, for robotic task planning</t>
  </si>
  <si>
    <t>Controlled benchmarks</t>
  </si>
  <si>
    <t>Manufacturability assessment; Defect identification</t>
  </si>
  <si>
    <t>evaluation of VLM on different design/inspection tasks</t>
  </si>
  <si>
    <t>Conceptual design — Roles: Enhance &amp; Decide
15 words: Structures sketches and descriptions, then judges similarity and suggests selection criteria for screening early concepts.
System-level &amp; detailed design — Roles: Enhance &amp; Decide
15 words: Parses drawings and constraints, drafts simple CAD code, and weighs options to support detailed decisions.
Manufacturing &amp; inspection — Roles: Enhance &amp; Decide
15 words: Aggregates manufacturing rules, highlights manufacturability risks, and flags obvious defects for first-pass checks before review.</t>
  </si>
  <si>
    <t>Enhance — Maps vague intentions to structured specs and retrieves constraints from knowledge graph for manufacturability assurance. Decide — Generates commands, compares design alternatives, and recommends manufacturable options under stated criteria with explanation transparency</t>
  </si>
  <si>
    <t>a flow how to select LLM (finetune/RAG/prompts) for design. Then a case in vintage vehicle interior trim customization</t>
  </si>
  <si>
    <t>LLM enabled KG;  KG‑augmented LLM</t>
  </si>
  <si>
    <t>Enhance — Transforms messy supplier webpages into standardized knowledge graph using ontology-guided extraction and normalization for discovery. Decide — Answers complex sourcing queries by retrieving subgraphs and synthesizing evidence to support supplier selection decisions.</t>
  </si>
  <si>
    <t>KG-RAG for supplier identification</t>
  </si>
  <si>
    <t>customized manufacturing</t>
  </si>
  <si>
    <t>Embodied Intelligence (EI) concept</t>
  </si>
  <si>
    <t>Enhance — Unifies logs/AI outputs via semantics; LLMs fuse knowledge to enrich shared context. Decide — Reasons over cross-element signals to schedule tasks and adjust throughput in real time. Act — Generates management instructions that update device parameters and operational states across the line</t>
  </si>
  <si>
    <t>very conceptual and abstract, the use of LLM: enhance semantic fusion of multi-source data, decide on scheduling/adjustments from fused evidence, and act by issuing management instructions to equipment</t>
  </si>
  <si>
    <t>Enhance — Generates feasibility and packing/unpacking heuristics to constrain actions and enrich exploration efficiently. Decide — Guides DRL to choose pack vs. unpack and target positions for higher utilization and stability. Act — Executes chosen actions on UR5, performing real packing/unpacking with low-latency control</t>
  </si>
  <si>
    <t>Enhance — Retrieves and structures literature knowledge into candidate equations and parametric relationships for modeling robust extrapolation. Decide — Generates, fits, ranks, and iteratively refines analytical models using small experiments for extrapolation beyond training.</t>
  </si>
  <si>
    <t>Telecommunications</t>
  </si>
  <si>
    <t>Enhance — Structures topology/propagation knowledge as text modules and explains intermediate reasoning steps. Decide — Localizes root-cause alarms from floods via learned graph-guided chains with verifiable logic.</t>
  </si>
  <si>
    <t>Multimodal LLM</t>
  </si>
  <si>
    <t>human-centric decision-making</t>
  </si>
  <si>
    <t>VLM; LLM chatbot</t>
  </si>
  <si>
    <t>Enhance — Learns decision patterns from DT simulations, structuring reconfiguration as matrix images. Decide — Generates target-aligned reconfiguration options, ranking by DT-evaluated performance for human selection. Act — Outputs executable configuration matrices to update resources after DT validation and human approval</t>
  </si>
  <si>
    <t>not so clear or detailed</t>
  </si>
  <si>
    <t>Consumer products</t>
  </si>
  <si>
    <t>Design-by-analogy</t>
  </si>
  <si>
    <t>Enhance — Structures problem/solution spaces and retrieves far-semantic, near-morphology analogies for designers. Decide — Synthesizes analogical features into coherent concept options with inspirations and explanations.</t>
  </si>
  <si>
    <t>Scheduling</t>
  </si>
  <si>
    <t>Enhance — Extracts case indicators and standardizes semantic requests to enrich decision context. Decide — Chooses and runs suitable schedulers (GA/MIP/rules) and reschedules under disruptions. Act — Converts plans to robot control commands via Plan/Ctrl agents for execution.</t>
  </si>
  <si>
    <t>LLM-enabled scene-graph RAG (GraphRAG+Neo4j) with prompt-tuned multi-agent LLM for fault diagnosis; compare fault-reasoning &amp; recommendation accuracy vs Gemini/Claude/Llama/GPT-4</t>
  </si>
  <si>
    <t>Enhance — Aligns unstructured fault/maintenance knowledge via scene-graph RAG for richer context. Decide — Reasons about root causes and ranks maintenance services through multi-agent, prompt-tuned LLM. Act — Triggers work orders and overlays stepwise AR guidance for on-site execution.</t>
  </si>
  <si>
    <t>conceptual design ideation from patents</t>
  </si>
  <si>
    <t>Enhance — Retrieves and structures patent knowledge into prompts to ground concept generation. Decide — Synthesizes concepts by reasoning with constraints/analogies, trading novelty for feasible, manufacturable ideas</t>
  </si>
  <si>
    <t>Industry 5.0 human-centric</t>
  </si>
  <si>
    <t>Enhance — Structures multimodal scene and operator profiles, producing tailored prompts, warnings, and updated corrective knowledge records. Decide — Detects assembly errors, selects assistive modality, and prioritizes guidance using reference comparisons and context analysis. Act — Generates instructions and executes device commands: project visuals, play audio, trigger robot interventions when necessary.</t>
  </si>
  <si>
    <t>Enhance — Transforms event logs into semantic process knowledge and infers objective weights from intents for scheduling. Decide — Guides negotiation and multi-objective scheduling, selecting machine combinations and quantities under constraints and uncertainties adaptively. Act — Issues task allocations to machines via DT agents and updates schedules for execution in realtime</t>
  </si>
  <si>
    <t>Medical devices</t>
  </si>
  <si>
    <t>Enhance — Builds KG and evidence graphs to align user needs with design knowledge and constraints effectively. Decide — Plans steps, defines expert roles, and composes/refines personalized RAD design proposals via reasoning and feedback. Act — Generates detailed design outputs, material/process choices, and orchestrates collaboration patterns for execution and documentation handoff.</t>
  </si>
  <si>
    <t>LLM enabled KG; KG‑augmented LLM; LLM agents</t>
  </si>
  <si>
    <t>Enhance — Converts multimodal inputs into OpenSCAD code; self-evaluates via projections, refining syntax, geometry, and dimensions iteratively. Decide — Generates and revises CAD scripts toward user specifications, selecting libraries and parameters during iterations automatically. Act — Outputs STL and G-code; triggers 3D printing and updates models after syntax checks and validation</t>
  </si>
  <si>
    <t>Food &amp; beverage</t>
  </si>
  <si>
    <t>Enhance — Generates controlled synthetic defect images and labels to enrich quality-inspection training data with parametric randomization</t>
  </si>
  <si>
    <t>Apparel</t>
  </si>
  <si>
    <t>Enhance — Normalizes entities and aligns natural language to MES schema using embeddings and rewriting for precision. Decide — Preplans multi-step operations, selecting tools or SQL and deriving placeholders with context for reliable execution. Act — Executes tools and SQL sequentially, updates database, and returns formatted responses to users with guardrails.</t>
  </si>
  <si>
    <t>Oil &amp; Gas</t>
  </si>
  <si>
    <t>Decide — supports hierarchical decomposition, evaluation, and planning via GoT-guided reasoning and expert oversight.</t>
  </si>
  <si>
    <t>Optical proximity correction (OPC) recipe development</t>
  </si>
  <si>
    <t>Act — generates executable OPC recipe rules from RL results to directly drive OPC engines (automation of recipe creation and deployment)</t>
  </si>
  <si>
    <t>Enhance — generates realistic defect images, balancing datasets and improving deep detector training reliability and generalization</t>
  </si>
  <si>
    <t>Decide — proposes design/AM process parameters that plan how to meet mechanical targets via learned inverse mapping and forward checks</t>
  </si>
  <si>
    <t>Act — Generates executable actions from video-derived plans and dispatches them to robots and operators via server</t>
  </si>
  <si>
    <t>Align — Generates scarce defect examples and balances classes to improve training recall and robustness during inspection</t>
  </si>
  <si>
    <t>Technology readiness</t>
  </si>
  <si>
    <t>Lab validation</t>
  </si>
  <si>
    <t>The paper frames CausalKGPT as a tool to assist workers in cause analyses and recommendations and emphasizes an offline model, not one that executes or controls processes. humans remain the decision/actuation gate</t>
  </si>
  <si>
    <t>ID_ENG</t>
  </si>
  <si>
    <t>The generated Python code is then executed using the "exec" function in Python to enable the robot to move according to the user's navigation instructions</t>
  </si>
  <si>
    <t>A multi-agent, LLM-driven DT coordinates agents to produce diagnoses/decisions with traceable reasoning; users can intervene, but the system aggregates and fuses insights across agents</t>
  </si>
  <si>
    <t>Feasibility is shown via comparative experiments in a lab HRC cell (HoloLens2, UR5e+MiR100); results demonstrate performance but not a field pilot/production rollout</t>
  </si>
  <si>
    <t>Vision-language + LLM plan tasks and hand off to a DRL controller to execute primitives; human guidance remains central via MR-HMD, so it coordinates modules rather than acting fully autonomously</t>
  </si>
  <si>
    <t>Assistive GenAI</t>
  </si>
  <si>
    <t>GenAI-led with human oversight</t>
  </si>
  <si>
    <t>Autonomous process learning</t>
  </si>
  <si>
    <t>Technology readiness - sub level</t>
  </si>
  <si>
    <t>TRL axis</t>
  </si>
  <si>
    <t>Core function validation</t>
  </si>
  <si>
    <t>ChatGPT explanation for Technology readiness (explain)</t>
  </si>
  <si>
    <t>GenAI autonomy</t>
  </si>
  <si>
    <t>ChatGPT explanation for GenAI autonomy (explain)</t>
  </si>
  <si>
    <t>Discrepency</t>
  </si>
  <si>
    <t>ChatGPT 5.1 Thinking agreement?</t>
  </si>
  <si>
    <t>GenAI autonomy level</t>
  </si>
  <si>
    <t>Proposes and tests a fine-tuning plus error-assisted code generation framework on curated manufacturing corpora and benchmark tasks; code is generated and verified in controlled experiments, not integrated with real shop-floor systems.</t>
  </si>
  <si>
    <t>LLM answers manufacturing queries and generates domain-specific code that engineers review, adapt, and deploy; GenAI expands human capability but never directly operates machinery or autonomously executes manufacturing processes.</t>
  </si>
  <si>
    <t>Proof-of-concept simulation</t>
  </si>
  <si>
    <t>GPT-3/Codex is used to automatically generate simulation models from verbal descriptions and validated on queuing and inventory examples entirely in simulation, without connection to real logistics assets or live enterprise data.</t>
  </si>
  <si>
    <t>GenAI supports analysts by turning natural language into simulation code; humans still specify problems, inspect generated models, run experiments, and interpret results, so the AI acts as a modelling copilot rather than process controller.</t>
  </si>
  <si>
    <t>Integration component testing</t>
  </si>
  <si>
    <t>Implements an LLM-based execution system integrated with digital twin, knowledge bases, UR10 cobot and AR interface, validated on two assembly testbeds; full stack is exercised, but only in controlled lab-style HRC cells.</t>
  </si>
  <si>
    <t>HRC-GPT interprets natural-language requests, generates assembly schedules, allocates tasks and interacts with robot controllers, while operators supervise via AR, can reconfigure and intervene, keeping humans “on the loop” during execution.</t>
  </si>
  <si>
    <t>Navigation framework is implemented in AI Habitat; a simulated AGV in a reconstructed 3D HRC scene follows language-driven paths. All evaluations occur in simulation, without deployment on physical AGVs or factory IT/OT.</t>
  </si>
  <si>
    <t>The LLM interprets human language commands and autonomously generates Python navigation code and paths for the AGV; humans issue goals and could supervise or stop runs, but do not micromanage movement-level actions.</t>
  </si>
  <si>
    <t>Multi-agent LLM digital twin is evaluated offline on historical crane sensor sequences and fault investigation documents via ablation studies; no real-time coupling or automatic maintenance actions in the actual plant.</t>
  </si>
  <si>
    <t>Vision-language planner and DRL controller are implemented on a UR5e+MiR100 mobile manipulator with Kinect and HoloLens in a lab HRC cell; integrated components tested, not deployed on production lines.</t>
  </si>
  <si>
    <t>ChatGPT is integrated with a Neo4j manufacturing knowledge graph built from real company data; evaluation uses offline benchmark questions, with no integration into live procurement workflows or operational IT/OT systems</t>
  </si>
  <si>
    <t>System enriches conversational answers about potential manufacturing service providers; it suggests candidates and rationales, but humans still choose suppliers and act, so GenAI only assists information retrieval and decision framing</t>
  </si>
  <si>
    <t>Referred object retrieval and LLM-based planner are validated on lab HRC gear-pump assembly with UR5 and Kinect plus evaluations on RefCOCO; integrated perception–planning stack tested, not connected to production MES.</t>
  </si>
  <si>
    <t>LLM generates executable robot code from language and vision, calling primitive skills to perform pick-and-place; humans provide initial commands and occasional clicks, supervising outcomes but not approving every motion beforehand.</t>
  </si>
  <si>
    <t>Lab validation – Core function validation</t>
  </si>
  <si>
    <t>Concept</t>
  </si>
  <si>
    <t>Prototype GIPP platform couples a fine-tuned ProcessGPT, CAM and a DT of a three-axis CNC milling machine, executing milling of a thin-walled part in an experimental cell, not in full production.</t>
  </si>
  <si>
    <t>ProcessGPT automatically proposes complete process plans and drives NC code generation via CAM and DT verification, while engineers supply requirements, review outputs, and supervise machining execution, keeping humans on the loop.</t>
  </si>
  <si>
    <t>ChatGPT-based digital intelligent assistant is implemented as a working prototype guiding workers in an assembly workstation with realistic tasks and curated instructions, evaluated experimentally in a controlled lab environment with student operators</t>
  </si>
  <si>
    <t>The DIA only delivers instructions, answers questions and suggests actions through natural language; humans still perform all assembly steps, decide responses to issues, and physically operate tools and components.</t>
  </si>
  <si>
    <t>Researchers build a GPT-3.5-Turbo VoC pipeline processing thousands of Apple Support Twitter conversations, validating extraction quality on this real dataset without deploying the system into live customer service operations.</t>
  </si>
  <si>
    <t>GPT-3.5-Turbo analyses historical dialogues and returns customer needs and requirements; Lean Six Sigma practitioners then interpret these insights to prioritize improvements, with no automated changes to business or production processes.</t>
  </si>
  <si>
    <t>Lab validation – Integration component testing</t>
  </si>
  <si>
    <t>Field pilots</t>
  </si>
  <si>
    <t>System demonstration in operational environment</t>
  </si>
  <si>
    <t>My argument</t>
  </si>
  <si>
    <t>aircraft maintenance data is real</t>
  </si>
  <si>
    <t>already tested it in a factory and have operational KPIs; and it's a complete system with full data flow, intergreted in a system</t>
  </si>
  <si>
    <t>Offline study on historical carbon-emission logs from a textile plant, using semantic text and knowledge graphs, evaluated with automatic metrics and human scores, without deployment, real-time integration, or direct control of production equipment.</t>
  </si>
  <si>
    <t>The agent analyzes process logs, retrieves similar cases, and generates textual root-cause explanations and improvement suggestions; engineers and managers interpret recommendations and decide process changes, so GenAI remains a decision-support copilot rather than executing actions.</t>
  </si>
  <si>
    <t>Builds an LVLM+LLM pipeline for zero-shot visual anomaly detection and evaluates it on MVTec-AD, VisA and other benchmark datasets, entirely offline, with no integration to manufacturing equipment, sensors, or execution systems</t>
  </si>
  <si>
    <t>The system outputs anomaly scores or maps for images; humans or downstream tooling would still decide inspection, repair, or adjustments. The paper targets detection performance, not autonomous closed-loop quality control, routing, or process actuation</t>
  </si>
  <si>
    <t>Subsystem demonstration in relevant environment</t>
  </si>
  <si>
    <t>Implements AAS templates, edge gateways, and LLM-based semantic search on quality data in a real injection-molding line, streaming production measurements into SMT instances and demonstrating subsystem behavior in the operational plant, without closing the control loop.</t>
  </si>
  <si>
    <t>The LLM supports semantic search, schema alignment, and interactive querying over AAS instances, helping engineers and data scientists discover quality-relevant information; it neither proposes nor automatically executes process changes, remaining a knowledge and query assistant.</t>
  </si>
  <si>
    <t>BC-MF is validated on four public IIoT datasets and one proprietary dataset, vertically partitioned for federated learning, with experiments restricted to offline training and evaluation rather than connection to running industrial assets or control systems.</t>
  </si>
  <si>
    <t>The LLM supervises feature extraction and reasoning, then returns fault labels and maintenance recommendations, while small models perform precise diagnosis; technicians still decide and implement actions, so the framework augments analysis rather than autonomously operating equipment.</t>
  </si>
  <si>
    <t>Prototype defect-detection models trained with real microscope images from an EMS provider, augmented using generative AI. Evaluation is offline on curated datasets, with no integration into inline inspection equipment or factory IT systems.</t>
  </si>
  <si>
    <t>Generative model only synthesizes images for training, while the defect detector provides classification results for inspectors or future systems; no autonomous process control, routing, or closed-loop adjustments are executed.</t>
  </si>
  <si>
    <t>ChatGPT is used to propose modified repair and recycling process routes, then recipes are experimentally tested on lab-scale glass molding and annealing equipment with real lenses, showing technical feasibility but no production-line integration.</t>
  </si>
  <si>
    <t>ChatGPT suggests process parameters, repair strategies, and troubleshooting ideas in natural language; human experts filter responses, design experiments, set machine parameters, and run trials, so GenAI informs decisions without directly executing or supervising manufacturing operations.</t>
  </si>
  <si>
    <t>SHIELD implements an LLM-based pipeline that induces schemas and features from EV battery disruption texts and evaluates predictive performance on historical corpora, but remains a research prototype without deployment into operational supply-chain planning systems.</t>
  </si>
  <si>
    <t>The LLM structures data, generates features, and produces explanations that support analysts’ predictive models; humans interpret results and decide mitigation actions, so GenAI enhances analytics but does not autonomously trigger supply-chain interventions.</t>
  </si>
  <si>
    <t>The system couples vision and language foundation models with a real cobot, cameras, AR/VR interfaces, and controllers in a lab assembly cell, validating perception, planning, and robot execution interactions, not yet on industrial lines.</t>
  </si>
  <si>
    <t>Foundation models interpret natural-language instructions, plan actions, and drive robot motion for collaborative assembly, while humans specify tasks, supervise execution, and can intervene, so GenAI leads task execution but under explicit human oversight.</t>
  </si>
  <si>
    <t>GPT-4V/LLaVA are benchmarked on curated, realistic engineering and manufacturing tasks (design similarity, DfM, inspection, CAD, topology optimization). Experiments validate capabilities offline, without integrated workflow, live systems, or deployment.</t>
  </si>
  <si>
    <t>Models act purely as analysis and ideation copilots—describing sketches, suggesting materials, judging manufacturability, solving textbook problems. Humans initiate queries, interpret results, and make all decisions; no automated control, execution, or closed-loop process learning.</t>
  </si>
  <si>
    <t>Proposes and implements LLM-controlled robot agents only in physics simulation (PyBullet), with no connection to real hardware or live production systems, reporting task success metrics on synthetic scenarios.</t>
  </si>
  <si>
    <t>LLM agent parses natural-language tasks, plans motions and generates robot code executed automatically in simulation, while humans define goals and evaluate results rather than approving every individual action.</t>
  </si>
  <si>
    <t>Implements a domain-specific RAG assistant using GPT-3.5 with curated ceramic-defect literature, evaluated on retrieval and generation metrics and use-case scenarios, but not integrated with live plant systems or operational data streams.</t>
  </si>
  <si>
    <t>Assistant retrieves defect knowledge and drafts explanations or corrective actions for quality engineers, but never triggers inspections or process changes itself, leaving humans as ultimate decision-makers and executors.</t>
  </si>
  <si>
    <t>Develops and evaluates an LLM-based NER pipeline on curated additive-manufacturing literature and generated texts, with annotated datasets and offline metrics, without any integration into shop-floor systems or real-time production workflows.</t>
  </si>
  <si>
    <t>System automatically extracts process entities and relations from documents to support knowledge structuring and future decision tools, but outputs remain analytical annotations, requiring humans or downstream systems to interpret and act.</t>
  </si>
  <si>
    <t>Implements a fine-tuned open-source LLM within a dual data mapping system connected to Asset Administration Shell servers and concept catalogs, validated via injection-molding case studies but not deployed in continuous plant operations.</t>
  </si>
  <si>
    <t>LLM suggests and ranks mappings between heterogeneous attribute schemas for engineers, semi-automating interoperability modelling, yet humans still supervise, approve or correct mappings before use in downstream engineering tools.</t>
  </si>
  <si>
    <t>The LLM is used in a RAG loop to generate virtual time-series data and support anomaly repair for training diagnostic models; it never directly controls equipment or executes maintenance, acting purely as a data/learning assistant.</t>
  </si>
  <si>
    <t>Integrates DT, RAG-assisted LLM, and federated continual learning for bearing fault diagnosis, validated on CWRU and MFPT datasets in a controlled compute environment; no real-time deployment, plant integration, or operational IIoT rollout is shown.</t>
  </si>
  <si>
    <t>Proposes an LLM-assisted pipeline for fine-grained KG construction in robotic fault diagnosis; evaluates nested NER and data augmentation on industrial text corpora, but remains an offline algorithmic study without integration into maintenance workflows or systems.</t>
  </si>
  <si>
    <t>The LLM extracts entities and relations to build a richer fault knowledge graph that can support engineers, but it neither recommends concrete actions nor interfaces with robots; humans retain full diagnostic and operational control.</t>
  </si>
  <si>
    <t>Implements a multi-agent LLM framework connected via MTConnect/MySQL to a real CNC on a shop floor, answering live monitoring queries; validated with accuracy metrics and usability study but not yet deployed plant-wide.</t>
  </si>
  <si>
    <t>Component validation in relevant environment</t>
  </si>
  <si>
    <t>ChatCNC retrieves and summarizes machine data, explaining conditions and trends, but leaves interpretation and any parameter changes to human operators; it augments situational awareness without initiating or executing control actions.</t>
  </si>
  <si>
    <t>Develops an enhanced causal fault knowledge graph and interactive troubleshooting method for bridge cranes; constructs graphs from manuals and fault tickets, tunes embedding models, and compares diagnosis performance, but only on historical cases and simulations.</t>
  </si>
  <si>
    <t>The LLM-KG system suggests likely fault chains and troubleshooting steps given symptoms, while technicians iteratively confirm causes and perform checks; it guides reasoning but does not operate or reconfigure equipment autonomously.</t>
  </si>
  <si>
    <t>Constructs an energy knowledge graph and EKG-embedded LLM using two-years of milling center data; answers energy management questions evaluated by experts, but runs as an offline advisory model without integration into plant control loops.</t>
  </si>
  <si>
    <t>The model recommends monitoring setups, parameter choices, and reduction strategies for machine energy use, yet humans decide implementation and adjust equipment; GenAI never directly executes control or optimization actions.</t>
  </si>
  <si>
    <t>Implements and evaluates a fine-tuned LLM integration framework on an offline O&amp;M text dataset from one automotive enterprise; no live connections to enterprise systems or operational deployment.</t>
  </si>
  <si>
    <t>Framework outputs ranked decision plans as text for engineers; it does not trigger or execute control actions, so humans remain sole decision makers and implementers in manufacturing processes.</t>
  </si>
  <si>
    <t>Proposes a hybrid KG-vector RAG architecture and evaluates Q&amp;A accuracy on curated DfAM corpora; system remains an experimental Q&amp;A prototype without integration to plant IT/OT infrastructure.</t>
  </si>
  <si>
    <t>LLM answers engineering design and manufacturing questions but only supplies information and recommendations; humans still interpret responses and decide any downstream design or process changes.</t>
  </si>
  <si>
    <t>Develops online and offline GPT-based chatbots trained on CSV data from an experimental bottling plant; demonstrates use cases via prompts, but PLC/SCADA integration and automatic execution remain assumed, not implemented.</t>
  </si>
  <si>
    <t>Industrial bot monitors production, diagnoses faults, and suggests overtime or parameter adjustments through natural-language dialogue; operators ultimately decide actions and implement any changes on shop-floor systems.</t>
  </si>
  <si>
    <t>Uses LLMs to pre-annotate machining texts, builds a verifier and MPKE-GPT, and constructs MPKG plus prototype system from 50 enterprise parts; evaluation relies on offline datasets and metrics.</t>
  </si>
  <si>
    <t>System extracts and structures process knowledge to support planners; it generates or exposes information but does not autonomously issue CNC instructions or modify process parameters.</t>
  </si>
  <si>
    <t>Combines LLM-based reward design, LfD, DRL, MR-HMD, and a UR5 cobot; validated on multiple collaborative assembly tasks in a controlled lab cell, not on production lines.</t>
  </si>
  <si>
    <t>LLM designs rewards and orchestrates skill composition while DRL policies autonomously generate robot actions; humans provide demonstrations, task goals, and corrections, supervising performance and safety during collaborative assembly.</t>
  </si>
  <si>
    <t>The KG+LLM expert system is evaluated on industrial CNC fault cases and user studies, but only via functional tests and deployment diagrams. No evidence of live connection to shop-floor assets or real-time plant deployment.</t>
  </si>
  <si>
    <t>The system analyzes fault descriptions, reasons over the KG, and proposes root causes and maintenance advice. It does not execute actions on machines; human maintainers still decide and implement troubleshooting steps.</t>
  </si>
  <si>
    <t>Agents interpret IIoT data, visualize states, and provide expert-like recommendations and fault insights. They support operators via a digital-twin “virtual expert” but don’t autonomously change machine settings or control production.</t>
  </si>
  <si>
    <t>The multi-agent LLM is integrated with an IIoT platform and digital twin, streaming real-time data from legacy panels and 3D printers in a university testbed. Demonstration remains in a controlled lab, not a production facility.</t>
  </si>
  <si>
    <t>The architecture and LLM-driven HMI are tested on historical and augmented data from an industrial extrusion process. The focus is on querying and visualization; there is no evidence of deployment in an online production environment.</t>
  </si>
  <si>
    <t>The LLM interprets natural-language queries and produces tailored visualizations and analytics, supporting operators’ decisions. It does not autonomously adjust process parameters or execute control actions; humans retain full authority over interventions.</t>
  </si>
  <si>
    <t>Industrial images from a real vertical lathe are collected, augmented with GAN-based synthetic views, and used to train and evaluate a deep tool-wear classifier offline; no closed-loop control or deployment.</t>
  </si>
  <si>
    <t>GANs generate additional tool images to train the classifier, which outputs condition labels to support inspectors or monitoring software; humans or conventional systems still decide tool changes and actions.</t>
  </si>
  <si>
    <t>Develops and evaluates an ontology-driven information extraction pipeline using LLMs on curated manufacturing documents with annotated ground truth; prototype runs on datasets only, not integrated with live shop-floor systems.</t>
  </si>
  <si>
    <t>LLM extracts entities and relations to build a task-centric knowledge graph, enriching documentation and search; it does not autonomously schedule, control, or modify manufacturing processes.</t>
  </si>
  <si>
    <t>OC-HMAS is validated through simulation-based logistics, inspection, and rescue scenarios using multimodal synthetic sensor data and simulated agents, demonstrating coordination benefits without connecting to physical robots or real production assets.</t>
  </si>
  <si>
    <t>Central planner and agents use multimodal LLM/VLM reasoning to self-organize, allocate tasks, and adapt strategies end-to-end after receiving a high-level goal, with no routine human approvals in the loop.</t>
  </si>
  <si>
    <t>LLM-based RAG answers engineering questions about kinematic models and integration details, supporting human system integrators; it never autonomously reconfigures robots or executes control actions.</t>
  </si>
  <si>
    <t>Implements an enhanced RAG pipeline over AAS-based knowledge, fine-tuned reranker, and ROS-based robotic cell CDT; validated via engineer queries and retrieval metrics in a demonstrator, not an operational factory.</t>
  </si>
  <si>
    <t>They design an FDRKG-LLM pipeline and evaluate it on a self-constructed fault diagnosis database with offline metrics; no live connection to plant systems or deployment, so it is lab-scale functional validation only.</t>
  </si>
  <si>
    <t>The LLM+KG pipeline analyzes fault descriptions and suggests diagnostic reasoning and maintenance guidance; humans remain responsible for interpreting recommendations and executing maintenance actions, so GenAI acts as an assistive copilot.</t>
  </si>
  <si>
    <t>HRC-CogiDT integrates LLMs with a digital twin, perception modules, and a real collaborative robot platform; experiments run on a laboratory HRC cell, validating multi-component interaction and decision pipelines, not industrial deployment.</t>
  </si>
  <si>
    <t>The system uses LLM-driven reasoning for task planning, anomaly detection, and schedule reasoning, while human operators collaborate and monitor safety, implying LLM-led decisions with humans supervising and intervening when necessary.</t>
  </si>
  <si>
    <t>Concept formulation</t>
  </si>
  <si>
    <t>The paper conceptualizes human-LLM collaboration schemes and a process framework for generative design, illustrated by a vehicle interior customization case, but presents no implemented software prototype, datasets, or quantitative experiments.</t>
  </si>
  <si>
    <t>LLMs are positioned as collaborators that generate design options, translate problem definitions, and support evaluation, while designers and customers make final decisions and control tools, so GenAI remains primarily assistive.</t>
  </si>
  <si>
    <t>They build an ontology-driven supplier capability knowledge graph and integrate it with LLM-based RAG, evaluating answer quality and retrieval metrics on real supplier data, but only as an offline case study without enterprise integration.</t>
  </si>
  <si>
    <t>The system retrieves and generates richer supplier information in response to natural-language queries, but users still select suppliers and act on recommendations; GenAI augments search and analysis rather than automating procurement decisions.</t>
  </si>
  <si>
    <t>Principles observation</t>
  </si>
  <si>
    <t>The envisioned embodied-intelligence architecture targets closed-loop perception, learning, and control for multi-agent customized manufacturing, with humans setting objectives while EI agents autonomously optimize scheduling and operations over time.</t>
  </si>
  <si>
    <t>This is a survey and conceptual architecture paper on embodied intelligence for customized manufacturing, synthesizing prior work and proposing future EI system structures, without implementing or empirically validating a concrete GenAI system.</t>
  </si>
  <si>
    <t>PUSNet is trained in simulation and then deployed via sim2real on a real robot, performing full packing tasks in logistics-like scenarios as an integrated cell, beyond offline benchmarking but short of plant-wide deployment.</t>
  </si>
  <si>
    <t>The study presented in the article involves both simulation experiments and real-world robotic packing tests. The authors first train and evaluate their proposed "packing-and-unpacking synergistic network (PUSNet)" in a virtual environment using various datasets 12. They then deploy the learned synergistic policy on a real UR5 robotic arm equipped with a suction gripper to perform online robotic packing tasks in diverse logistics scenarios 3. The results demonstrate that the PUSNet-based robotic packing system can achieve reliable and space-efficient packing performance in the real world 4.</t>
  </si>
  <si>
    <t>Field pilots – Subsystem demonstration in relevant environment
Autonomous process learning</t>
  </si>
  <si>
    <t>The LLM generates heuristics shaping the DRL policy, which then autonomously decides packing and unpacking actions on the robot without human approval per move; humans supervise safety and setup but are largely out of the loop.</t>
  </si>
  <si>
    <t>The LLM-based framework learns analytical models from literature plus small experimental datasets for three manufacturing processes. All evaluations use curated lab/experimental data offline; no linkage to live equipment, control loops, or plant IT/OT.</t>
  </si>
  <si>
    <t>GenAI is used to read literature, propose candidate equations, and refine models; it never controls machines or runs online. Outputs are decision-support models for engineers, keeping humans as ultimate decision-makers and “button pressers.”</t>
  </si>
  <si>
    <t>RCL-LLM is fine-tuned and evaluated on real OTN alarm data and simulated scenarios, achieving high root-cause localization accuracy. However, it runs as an offline diagnostic tool, not integrated into live network operations.</t>
  </si>
  <si>
    <t>The system analyzes alarms, explains likely root causes, and reduces operator workload, but it only provides diagnostic insights. Operators still decide and execute recovery actions; GenAI does not directly reconfigure or control the network.</t>
  </si>
  <si>
    <t>LMDM is implemented on a flexible manufacturing system modeled via discrete-event/digital-twin simulation, generating and evaluating reconfiguration decisions offline, without controlling real assets or being integrated into a plant IT/OT stack.</t>
  </si>
  <si>
    <t>The model autonomously proposes multiple reconfiguration options and evaluates them against performance targets, but humans remain central by interpreting options and choosing final decisions; no direct execution on physical equipment is reported.</t>
  </si>
  <si>
    <t>The ViMimic tool is a working software prototype tested with 18 participants on realistic conceptual design tasks, demonstrating improved novelty and functionality, but it remains a lab PDMS add-on, not integrated into industrial workflows.</t>
  </si>
  <si>
    <t>The LLM retrieves analogies, scores mappings, and suggests combinational concepts, while designers judge relevance, adapt ideas, and make all design decisions; the system does not act on production or engineering processes directly.</t>
  </si>
  <si>
    <t>MASC is realized as a multi-agent system connected to robots and control software, validated via simulations and real robotic experiments in a research testbed, but not deployed on a live production line or plant MES.</t>
  </si>
  <si>
    <t>SchedAgent, PlanAgent and CtrlAgent jointly generate schedules, translate them into commands and directly control robotic equipment, adapting to disturbances, while humans define objectives, constraints and monitor behavior rather than micromanaging each scheduling decision.</t>
  </si>
  <si>
    <t>The industrial LLM and AR system are deployed in a typical machining workshop with real CNC machine tools, sensors, and HoloLens, using live operational data to diagnose faults and guide maintenance while operators execute tasks on real equipment.</t>
  </si>
  <si>
    <t>The system performs fault reasoning, recommends maintenance services, creates work instructions, and overlays AR guidance, but human technicians decide whether to follow suggestions and physically perform interventions; no autonomous actuation of machine tools is described.</t>
  </si>
  <si>
    <t>The paper mainly proposes customization and personalization frameworks and validates them via a controlled conceptual design experiment using patents and LLM-based RAG; it is not embedded into industrial CAD/PLM or operational manufacturing systems.</t>
  </si>
  <si>
    <t>Customized and personalized LLMs generate concept alternatives and reasoning traces; human designers and experts evaluate feasibility and novelty, and any downstream engineering or manufacturing actions remain fully human-initiated.</t>
  </si>
  <si>
    <t>Implements CarbonDTMAS using real production data from a textile workshop; evaluates multi-objective scheduling performance against baselines in a case study, but system remains offline without direct integration into live plant control.</t>
  </si>
  <si>
    <t>LLM-enhanced multi-agents autonomously propose schedules optimizing tardiness, workload and emissions inside the DT; humans supervise, interpret results, and enact plans, so GenAI does not directly operate equipment.</t>
  </si>
  <si>
    <t>Implements LLM-based multi-agent plus knowledge graph, runs a full knee joint rehabilitation-device design case, 3D-prints and evaluates prototypes, but workflow remains a research prototype rather than embedded industrial design toolchain.</t>
  </si>
  <si>
    <t>System captures user requirements, plans tasks and iteratively generates design proposals, yet expert designers and end users review, modify, and ultimately approve designs, keeping GenAI as planner under human oversight.</t>
  </si>
  <si>
    <t>Pipeline connects GPT-4, OpenSCAD scripts, slicer and desktop 3D printer, tested on gear-case examples with dimensional error analysis, demonstrating an integrated workflow only in a controlled laboratory environment.</t>
  </si>
  <si>
    <t>GenAI produces CAD and G-code alternatives from prompts; users inspect geometry, adjust parameters and explicitly trigger printing, so the model serves as creative copilot rather than independently controlling fabrication hardware.</t>
  </si>
  <si>
    <t>core function of generating CAD design</t>
  </si>
  <si>
    <t>Laboratory assembly cell combines cameras, LLMs, projector, audio, databases and cobot to deliver warnings and corrective guidance on pump assembly, but authors emphasise preliminary lab-scale results without factory integration yet.</t>
  </si>
  <si>
    <t>GenAI layer interprets images, detects assembly errors, selects assistive modality, and commands cobot for item handling; human operators execute main tasks, provide feedback, and can override or correct system behaviour.</t>
  </si>
  <si>
    <t>Uses Blender-generated synthetic bottle images and offline CNN experiments to study defect detection performance. No live sensor integration, equipment control, or deployment in a real inspection cell is demonstrated yet.</t>
  </si>
  <si>
    <t>Generative models only synthesize training data to support downstream CNN inspectors. GenAI does not interact with production systems or execute actions; human engineers still design, deploy, and supervise quality-control solutions</t>
  </si>
  <si>
    <t>LLM agent is connected to a simulated garment MES, relational database, and tool APIs, executing multi-step Text2SQL operations. Evaluation uses lab testbed, not a real factory deployment or production line.</t>
  </si>
  <si>
    <t>CWM autonomously plans and executes MES operations via SQL and service calls, but assumes confirmation mechanisms and governance. Humans remain supervisors, reviewing actions and handling exceptions in serious manufacturing scenarios.</t>
  </si>
  <si>
    <t>Implements an LLM-based multi-agent framework for conceptual subsea layout design, evaluated on offline case studies. Uses stored knowledge but never connects to engineering systems, CAD workflows, or real industrial environments.</t>
  </si>
  <si>
    <t>KAGS automates problem formulation and candidate design generation but is advisory. Human designers set constraints, interpret recommendations, and ultimately decide; GenAI proposes alternatives without operating equipment or enforcing configurations automatically.</t>
  </si>
  <si>
    <t>RL and multi-modal LLM agents optimize OPC recipes using ICCAD and NVDLA layout datasets. Evaluation currently stays offline, with no integration into industrial OPC software, process control, or fabs yet.</t>
  </si>
  <si>
    <t>System searches OPC parameters, learns rules, and drafts guidelines. It accelerates engineer work but leaves fabs and EDA flows under human authority; GenAI never tapes-out chips or modifies masks autonomously.</t>
  </si>
  <si>
    <t>E-CycleGAN is trained on real IC surface images and evaluated via similarity metrics and downstream defect detection (VGG16, ResNet50, YOLO11), improving accuracy offline; integration into an actual production line is only future work.</t>
  </si>
  <si>
    <t>Generative model augments scarce defect images to balance datasets and boost classifier performance. It never inspects wafers online or triggers process actions; humans or conventional systems still handle inspection decisions and interventions</t>
  </si>
  <si>
    <t>ACGAN framework (InverseACGAN + ForwardACGAN) is trained on 675 experimentally fabricated FFF lattice samples; 27 additional samples printed with generated parameters validate porosity and modulus accuracy, but system remains a lab design tool, not embedded in production.</t>
  </si>
  <si>
    <t>The model proposes lattice design and AM process parameters to hit target properties; engineers still decide which parameter sets to use and run the printer, so GenAI supports design rather than autonomously operating manufacturing.</t>
  </si>
  <si>
    <t>LMM + digital twin + task execution server + agents are integrated and validated on an HRC assembly cell for induction hobs, in simulation and real setup, showing reduced planning time but no full factory-scale deployment.</t>
  </si>
  <si>
    <t>LMM interprets narrated videos, builds task models, allocates tasks to human and UR10, and generates low-level actions executed via DT; engineers supervise via web interface, correct plans, and monitor safety</t>
  </si>
  <si>
    <t>Can a troubleshooting AI assistant improve task performance in industrial
contexts?</t>
  </si>
  <si>
    <t>Department of Management, Technology, and Economics, ETH Zurich, Zurich, Switzerland</t>
  </si>
  <si>
    <t>Generative AI; chatbot;
knowledge management;
retrieval-augmented
generation; large language
model; train commissioning</t>
  </si>
  <si>
    <t>Experiments</t>
  </si>
  <si>
    <t>Count</t>
  </si>
  <si>
    <t>Count of TRL axis</t>
  </si>
  <si>
    <t>Agreement (%)</t>
  </si>
  <si>
    <t>Total</t>
  </si>
  <si>
    <t>Total Y</t>
  </si>
  <si>
    <t>GPT-3.5 is fine-tuned with curated aircraft maintenance logs and evaluated using IoU, BERTScore and BLEU, validating defect identification and action recommendation on historical data without integration to operational maintenance systems.</t>
  </si>
  <si>
    <t>The fine-tuned LLM interprets free-text maintenance logs and suggests defective components and recommended actions, but humans remain responsible for decision-making and execution; the model neither triggers workflows nor controls equipment.</t>
  </si>
  <si>
    <t>An integrated VLM+LLM management system connects to real smelting sensors, databases, and UI clients, and is evaluated in a steel plant with production and wastage improvements, indicating subsystem-level field demonstration</t>
  </si>
  <si>
    <t>The ChatGPT-based module visualizes and explains smelting data, answers domain questions, and offers decision support. Human operators and managers still interpret advice, adjust parameters, and execute actions; GenAI never directly controls equipment or autonomously schedules production.</t>
  </si>
  <si>
    <t>Field pilots – Subsystem demonstration in relevant environment</t>
  </si>
  <si>
    <t>Implements a full prototype combining LLM scheduler, multi-agent control, and blockchain consensus on cloud servers, validated via case study and throughput tests using realistic new-energy-vehicle data, but not yet integrated into live factories.</t>
  </si>
  <si>
    <t>LLM-based decision agent autonomously generates multi-objective energy-efficient schedules and selects agents via bids; machine agents then execute plans, while humans define objectives, prompts, and constraints rather than approving each dispatch manually.</t>
  </si>
  <si>
    <t>LLM-enhanced RL planner runs inside a CNC digital twin, linked to real CNC data via OPC UA. Tool-axis planning is trained and evaluated in virtual machining, validating integrated components and data flows, not production pilots.</t>
  </si>
  <si>
    <t>In the twin, LLM+RL autonomously chooses tool-axis vector actions and trajectories. Humans define objectives, prompts, and constraints and would review or approve generated NC programs before real execution, implying GenAI-led planning under human supervision.</t>
  </si>
  <si>
    <t>SUM</t>
  </si>
  <si>
    <t>Theory lens</t>
  </si>
  <si>
    <t>Are both generative AI and ChatGPT game changers for 21st-Century operations and supply chain excellence?</t>
  </si>
  <si>
    <t>Fosso Wamba S.; Queiroz M.M.; Chiappetta Jabbour C.J.; Shi C.V.</t>
  </si>
  <si>
    <t>International Journal of Production Economics</t>
  </si>
  <si>
    <t>Fosso Wamba S.</t>
  </si>
  <si>
    <t>TBS Business School, Toulouse, France</t>
  </si>
  <si>
    <t>ChatGPT; Disruptive technology; Emerging technologies; Generative artificial intelligence; Operations and supply chain management; Organizational learning</t>
  </si>
  <si>
    <t>Survey</t>
  </si>
  <si>
    <t>Value&amp;Impact</t>
  </si>
  <si>
    <t>Operations; Supply Chain</t>
  </si>
  <si>
    <t>organizational learning theory</t>
  </si>
  <si>
    <t>One of few empirical studies (questionaires on Profilic) on GenAI in operations &amp; SCM at the time, but naïve and not in-depth</t>
  </si>
  <si>
    <t>Exploring Challenges and Opportunities to Support Designers in Learning to Co-create with AI-based Manufacturing Design Tools</t>
  </si>
  <si>
    <t>Gmeiner F.; Yang H.; Yao L.; Holstein K.; Martelaro N.</t>
  </si>
  <si>
    <t>Conference on Human Factors in Computing Systems - Proceedings</t>
  </si>
  <si>
    <t>Gmeiner F.</t>
  </si>
  <si>
    <t>computational co-creation; generative AI; group cognition; human-AI collaboration; team learning; think-aloud study</t>
  </si>
  <si>
    <t>Observational study: Think-aloud studies, semi-structured interviews</t>
  </si>
  <si>
    <t>human‑AI co-creation</t>
  </si>
  <si>
    <t>team learning theory</t>
  </si>
  <si>
    <t>GenAI-assisted design agent</t>
  </si>
  <si>
    <t>empirical observations on on co-learning between designer and AI tool</t>
  </si>
  <si>
    <t>Human-technology integration with industrial conversational agents: A conceptual architecture and a taxonomy for manufacturing</t>
  </si>
  <si>
    <t>Colabianchi S.; Tedeschi A.; Costantino F.</t>
  </si>
  <si>
    <t>Department of Computer, Control, and Management Engineering Antonio Ruberti, Sapienza University of Rome, Via Ariosto 25, Rome, 00185, Italy</t>
  </si>
  <si>
    <t>Chatbot; Dialog systems; Large language model; Natural language processing; Voice bot</t>
  </si>
  <si>
    <t>conceptual</t>
  </si>
  <si>
    <t>Nickerson taxonomy development</t>
  </si>
  <si>
    <t>human-machine interaction</t>
  </si>
  <si>
    <t>human–technology integration</t>
  </si>
  <si>
    <t>traditional chatbots</t>
  </si>
  <si>
    <t>Mainly rule-based chatbots; GenAI not covered due to early timing</t>
  </si>
  <si>
    <t>Generative artificial intelligence in supply chain and operations management: a capability-based framework for analysis and implementation</t>
  </si>
  <si>
    <t>Jackson I.; Ivanov D.; Dolgui A.; Namdar J.</t>
  </si>
  <si>
    <t>artificial intelligence; GAI; Generative artificial intelligence; operations management; supply chain</t>
  </si>
  <si>
    <t>Theory-driven synthesis</t>
  </si>
  <si>
    <t>Strategy; Applications; Value&amp;Impact</t>
  </si>
  <si>
    <t>Resource-Based View; dynamic capabilities theory</t>
  </si>
  <si>
    <t>good conceptual framework with LR; but examples mainly AI not GenAI</t>
  </si>
  <si>
    <t>ChatGPT and generative artificial intelligence: an exploratory study of key benefits and challenges in operations and supply chain management</t>
  </si>
  <si>
    <t>Fosso Wamba S.; Guthrie C.; Queiroz M.M.; Minner S.</t>
  </si>
  <si>
    <t>benefits; challenges; ChatGPT; generative AI; operations; supply chain</t>
  </si>
  <si>
    <t>exploratory descriptive survey study</t>
  </si>
  <si>
    <t>six industry clusters</t>
  </si>
  <si>
    <t>diffusion of innovation theory</t>
  </si>
  <si>
    <t>mainly focused on supply chain</t>
  </si>
  <si>
    <t>Generative artificial intelligence in manufacturing: opportunities for actualizing Industry 5.0 sustainability goals</t>
  </si>
  <si>
    <t>Ghobakhloo M.; Fathi M.; Iranmanesh M.; Vilkas M.; Grybauskas A.; Amran A.</t>
  </si>
  <si>
    <t>Journal of Manufacturing Technology Management</t>
  </si>
  <si>
    <t>Ghobakhloo M.</t>
  </si>
  <si>
    <t>Division of Industrial Engineering and Management, Uppsala University, Uppsala, Sweden</t>
  </si>
  <si>
    <t>Digital transformation; Generative AI impact; Human centric; Industry 5.0; Resilience; Sustainable development goals</t>
  </si>
  <si>
    <t>interviews + ISM + MICMAC</t>
  </si>
  <si>
    <t>Strategy; Governance</t>
  </si>
  <si>
    <t>Paradox theory</t>
  </si>
  <si>
    <t>roadmap of how to leverage GenAI for responsible manufacturing in Industry 5.0; objective with small samples</t>
  </si>
  <si>
    <t>Smart product platforming powered by AI and generative AI: Personalization for the circular economy</t>
  </si>
  <si>
    <t>Akhtar P.; Ghouri A.M.; Ashraf A.; Lim J.J.; Khan N.R.; Shuang M.A.</t>
  </si>
  <si>
    <t>Akhtar P.</t>
  </si>
  <si>
    <t>The University of Aberdeen Business School, University of Aberdeen, Aberdeen, United Kingdom</t>
  </si>
  <si>
    <t>Big data analytics and machine learning; Environmentally friendly products and circular economy; Generative artificial intelligence and large language models; Personalized product design and manufacturing; Smart product platforms and flexibility</t>
  </si>
  <si>
    <t>Survey-based SEM</t>
  </si>
  <si>
    <t>Design; Manufacturing</t>
  </si>
  <si>
    <t>Smart product platforming</t>
  </si>
  <si>
    <t>Strong SEM evidence, but limited to Chinese automotive industry</t>
  </si>
  <si>
    <t>Benchmarking operations and supply chain management practices using Generative AI: Towards a theoretical framework</t>
  </si>
  <si>
    <t>Dubey R.; Gunasekaran A.; Papadopoulos T.</t>
  </si>
  <si>
    <t>Transportation Research Part E: Logistics and Transportation Review</t>
  </si>
  <si>
    <t>Dubey R.</t>
  </si>
  <si>
    <t>Montpellier Business School, 2300 Avenue des Moulins, Montpellier, 34185, France</t>
  </si>
  <si>
    <t>Artificial Intelligence Supply Chain Management; Benchmarking; Generative Artificial Intelligence (Gen AI); Organisational Theories</t>
  </si>
  <si>
    <t>10 popular organisational theories</t>
  </si>
  <si>
    <t>so so conceptual paper, cannot see the interactions among chapters, text not well formulated</t>
  </si>
  <si>
    <t>Generative AI usage and sustainable supply chain performance: A practice-based view</t>
  </si>
  <si>
    <t>Li L.; Zhu W.; Chen L.; Liu Y.</t>
  </si>
  <si>
    <t>Li L.</t>
  </si>
  <si>
    <t>School of Economics and Management, Xi'an University of Technology, Xi'an, 710054, China</t>
  </si>
  <si>
    <t>Circular economy implementation; Generative AI usage; Green supply chain collaboration; Practice-based view; Sustainable supply chain performance</t>
  </si>
  <si>
    <t>Practice‑Based View (PBV)</t>
  </si>
  <si>
    <t>SEM seems not so reliable (Chinese manufacturing companies); the positive impact of GenAI on sustainable supply chain performance</t>
  </si>
  <si>
    <t>How can generative artificial intelligence improve digital supply chain performance in manufacturing firms? Analyzing the mediating role of innovation ambidexterity using hybrid analysis through CB-SEM and PLS-SEM</t>
  </si>
  <si>
    <t>Al-khatib A.W.; AL-Shboul M.A.; Khattab M.</t>
  </si>
  <si>
    <t>Technology in Society</t>
  </si>
  <si>
    <t>Al-khatib A.W.</t>
  </si>
  <si>
    <t>Business Faculty, Middle East University, Amman, 11831, Jordan</t>
  </si>
  <si>
    <t>Digital supply chain; Generative artificial intelligence; Hybrid analysis; Innovation ambidexterity; Jordan; Manufacturing firms; Performance</t>
  </si>
  <si>
    <t>dynamic capabilities theory</t>
  </si>
  <si>
    <t>SEM seems not so reliable (Jordan manufacturing companies); the positive impact of GenAI on sigital supply chain performance</t>
  </si>
  <si>
    <t>Generative AI-enabled supply chain management: The critical role of coordination and dynamism</t>
  </si>
  <si>
    <t>Li L.; Liu Y.; Jin Y.; Cheng T.C.E.; Zhang Q.</t>
  </si>
  <si>
    <t>Generative AI; Supply chain coordination; Supply chain dynamism; Supply chain performance; The relational view</t>
  </si>
  <si>
    <t>Relational View</t>
  </si>
  <si>
    <t>ChatGPT in supply chains: exploring potential applications, benefits and challenges</t>
  </si>
  <si>
    <t>Haddud A.</t>
  </si>
  <si>
    <t>College of Business and Economic Development, University of Southern Mississippi, Hattiesburg, MS, United States</t>
  </si>
  <si>
    <t>Benefits; Challenges; ChatGPT; Generative Artificial Intelligence; Supply chain digitalization; Supply chain management</t>
  </si>
  <si>
    <t>online survey involving 116 US scholar respondents</t>
  </si>
  <si>
    <t>Navigating innovation in the age of AI: how generative AI and innovation influence organizational performance in the manufacturing sector</t>
  </si>
  <si>
    <t>Khan S.; Mehmood S.; Khan S.U.</t>
  </si>
  <si>
    <t>Khan S.</t>
  </si>
  <si>
    <t>College of Management, Research Institute of Business Analytics and Supply Chain Management, Shenzhen University, Shenzhen, China</t>
  </si>
  <si>
    <t>China; Generative AI; Manufacturing sector; TOE framework</t>
  </si>
  <si>
    <t>Technology–Organization–Environment (TOE) framework</t>
  </si>
  <si>
    <t>Online survey of 302 Chinese manufacturing firms</t>
  </si>
  <si>
    <t>Leveraging generative artificial intelligence for sustainable business model innovation in production systems</t>
  </si>
  <si>
    <t>Wang S.; Zhang H.</t>
  </si>
  <si>
    <t>Wang S.</t>
  </si>
  <si>
    <t>International Business School, Fuzhou University of International Studies and Trade, Fuzhou, China</t>
  </si>
  <si>
    <t>digital transformation; generative artificial intelligence; manufacturing start-ups; organisational learning; Production system innovation; sustainable manufacturing</t>
  </si>
  <si>
    <t>Antecedents-Behaviour-Consequences (ABC) learning model</t>
  </si>
  <si>
    <t>online survey  from 402 Chinese university student entrepreneurs</t>
  </si>
  <si>
    <t>Generative AI capabilities for green supply chain management improvement: extended dynamic capabilities view</t>
  </si>
  <si>
    <t>Kurrahman T.; Tsai F.M.; Lim M.K.; Sethanan K.; Tseng M.-L.</t>
  </si>
  <si>
    <t>International Journal of Logistics Research and Applications</t>
  </si>
  <si>
    <t>Kurrahman T.</t>
  </si>
  <si>
    <t>Department of Shipping and Transportation Management, National Taiwan Ocean University, Keelung, Taiwan</t>
  </si>
  <si>
    <t>dynamic capabilities view; fuzzy Delphi method; fuzzy synthetic evaluation–DEMATEL; Generative artificial intelligence; green supply chain management; supply chain management</t>
  </si>
  <si>
    <t>Fuzzy Delphi Method + Fuzzy Synthetic Evaluation–DEMATEL</t>
  </si>
  <si>
    <t>dynamic capabilities theory; organizational learning theory</t>
  </si>
  <si>
    <t>useful GenAI capabilities text: 2.2, 2.3; only focuses on the automotive industry in Indonesia</t>
  </si>
  <si>
    <t>Digital twin designs with generative AI: crafting a comprehensive framework for manufacturing systems</t>
  </si>
  <si>
    <t>Mata O.; Ponce P.; Perez C.; Ramirez M.; Anthony B.; Russel B.; Apte P.; MacCleery B.; Molina A.</t>
  </si>
  <si>
    <t>Mata O.</t>
  </si>
  <si>
    <t>Institute of Advanced Materials and Sustainable Manufacturing, Tecnologico de Monterrey, CDMX, Mexico City, 14380, Mexico</t>
  </si>
  <si>
    <t>Digital twin; Fuzzy TOPSIS; Large language model; Morphological matrix; S4 framework</t>
  </si>
  <si>
    <t>The transformative power of generative AI for supply chain management: Theoretical framework and agenda</t>
  </si>
  <si>
    <t>Wu H.; Li G.; Ivanov D.</t>
  </si>
  <si>
    <t>Wu H.</t>
  </si>
  <si>
    <t>School of Economics and Management, China University of Petroleum-Beijing, Beijing, 102249, China</t>
  </si>
  <si>
    <t>generative artificial intelligence; supply chain management; theoretical framework</t>
  </si>
  <si>
    <t>conceptual integration</t>
  </si>
  <si>
    <t>supply chain</t>
  </si>
  <si>
    <t>Capability-based view</t>
  </si>
  <si>
    <t>a comprehensive theoretical framework illustrating how GAI can empower supply chain management</t>
  </si>
  <si>
    <t>Improving suppliers' supply chain performance by implementing ChatGPT: insights from the difference-in-differences model</t>
  </si>
  <si>
    <t>Fan X.; Zhang Y.; Hu X.; Li M.</t>
  </si>
  <si>
    <t>Fan X.</t>
  </si>
  <si>
    <t>School of Business and Management, Jilin University, Changchun, China</t>
  </si>
  <si>
    <t>chain supermarket; ChatGPT; difference-in-differences model; supplier scale; suppliers' supply chain performance; ‌product category</t>
  </si>
  <si>
    <t>DiD model</t>
  </si>
  <si>
    <t>Retail</t>
  </si>
  <si>
    <t>Factors influencing the adoption of generative AI in supply chain management: an empirical study based on task-technology fit and the theory of planned behaviour</t>
  </si>
  <si>
    <t>Chen J.; Dai J.; Yu T.; Wang C.</t>
  </si>
  <si>
    <t>Chen J.</t>
  </si>
  <si>
    <t>Business School, University of Bristol, Bristol, United Kingdom</t>
  </si>
  <si>
    <t>behavioral intention; Generative AI technology; structural equation model; supply chain management; task-technology fit; theory of planned behaviour</t>
  </si>
  <si>
    <t>Task–Technology Fit (TTF); Theory of Planned Behaviour (TPB)</t>
  </si>
  <si>
    <t>Practitioners’ positive attitudes—when TTF is high—increase intention to adopt GAI for SCM tasks (forecasting, inventory, risk), indicating perceived usefulness rather than measured operational gains.</t>
  </si>
  <si>
    <t>A large language model-based manufacturing process planning approach under industry 5.0</t>
  </si>
  <si>
    <t>Ni M.; Wang T.; Leng J.; Chen C.; Cheng L.</t>
  </si>
  <si>
    <t>Ni M.</t>
  </si>
  <si>
    <t>flexible manufacturing; human-centric; industry 5.0; Innovation and infrastructure(SDG 9); large language models; process planning</t>
  </si>
  <si>
    <t>Impact of generative AI on logistics companies’ business models</t>
  </si>
  <si>
    <t>Kmiecik M.; Skórnóg D.</t>
  </si>
  <si>
    <t>Kmiecik M.</t>
  </si>
  <si>
    <t>Logistics Institute, Department of Organization and Management, Silesian University of Technology, Zabrze, Poland</t>
  </si>
  <si>
    <t>business models; ChatGPT; Generative artificial intelligence (gen-AI); Large language models (LLM); logistics‌; survey research‌</t>
  </si>
  <si>
    <t>Value&amp;Impact; Strategy</t>
  </si>
  <si>
    <t>Business model innovation; Dynamic capabilities; Resource-based view</t>
  </si>
  <si>
    <t>Survey of 50 logistics professionals, two in-depth expert interviews</t>
  </si>
  <si>
    <t>ID_MGT</t>
  </si>
  <si>
    <t>X</t>
  </si>
  <si>
    <t xml:space="preserve">first PLM-aligned AIGC framework for smart manufacturing. Offers a structured view of practical AIGC use cases across lifecycle phases. Highlights major deployment barriers. </t>
  </si>
  <si>
    <t>This review is largely conceptual (empirical examples not so in-depth) and future-oriented. How I differentiate from this paper:
1. mine is a a practice-informed, evidence-based review: narrative synthesis of real GenAI deployments in operations management (from papers, preprints, industry reports, case studies)
2. Methodological Contribution of mine: Build a new classification/mapping framework</t>
  </si>
  <si>
    <t>Identifies key applications across PLM (Product Lifecycle Management: design, manufacturing, marketing &amp; logistics, operations &amp; maintenance, recycling &amp; remanufacturing)</t>
  </si>
  <si>
    <t>interpretability and reliability; data heterogeneity and domain specificity; legacy systems; cybersecurity</t>
  </si>
  <si>
    <t>general GenAI</t>
  </si>
  <si>
    <t>product lifecycle</t>
  </si>
  <si>
    <t>Techniques + Applications + Value&amp;Impact</t>
  </si>
  <si>
    <t>narrative (214)</t>
  </si>
  <si>
    <t>Artificial intelligence generated content; GenAI Agent; Generative artificial intelligence; Industry 5.0; Smart manufacturing</t>
  </si>
  <si>
    <t>State Key Laboratory of Precision Electronic Manufacturing Technology and Equipment, Guangdong University of Technology, Guangzhou, 510006, China 510006, China</t>
  </si>
  <si>
    <t>Leng J.</t>
  </si>
  <si>
    <t>Leng, Jiewu; Zheng, Keyou; Li, Rongjie; Chen, Chong; Wang, Baicun; Liu, Qiang; Chen, Xin; Shen, Weiming</t>
  </si>
  <si>
    <t>AIGC-empowered smart manufacturing: Prospects and challenges</t>
  </si>
  <si>
    <t>multimodal LLM</t>
  </si>
  <si>
    <t>Human-robot collaboration</t>
  </si>
  <si>
    <t>first systematic, large-scale review multimodal (vision + language + gesture) and spatial reasoning approaches for human–robot collaboration. Introduces a conceptual PCA framework linking multimodal fusion to robotic action</t>
  </si>
  <si>
    <t>limited domain: Human-robot collaboration
limited tech: MLLM</t>
  </si>
  <si>
    <t>existing multimodal and spatial reasoning approaches for human–robot collaboration. A conceptual synthesis of frameworks, model architectures, and fusion strategies</t>
  </si>
  <si>
    <t>spatial grounding accuracy, real-time performance</t>
  </si>
  <si>
    <t>Techniques + Applications</t>
  </si>
  <si>
    <t>systematic (200)</t>
  </si>
  <si>
    <t>Embodied intelligence; Human–robot collaboration; Large language model; Robot learning; Smart manufacturing</t>
  </si>
  <si>
    <t>School of Mechanical Engineering, Shanghai Jiao Tong University, Shanghai, China</t>
  </si>
  <si>
    <t>Wu D.</t>
  </si>
  <si>
    <t>Wu, Duidi; Zheng, Pai; Zhao, Qianyou; Zhang, Shuo; Qi, Jin; Hu, Jie; Zhu, Guo-Niu; Wang, Lihui</t>
  </si>
  <si>
    <t>Empowering natural human–robot collaboration through multimodal language models and spatial intelligence: Pathways and perspectives</t>
  </si>
  <si>
    <t>logistics</t>
  </si>
  <si>
    <t>first comprehensive mapping of GAI uses within green logistics. Applications, enablers, barriers on integrating GAI in green logistics. Offers a decision-making framework to guide policymakers in prioritizing supportive initiatives.</t>
  </si>
  <si>
    <t>limited domain: logistics
not tech fcoused</t>
  </si>
  <si>
    <t>first comprehensive mapping of GAI uses within green logistics. Applications, enablers, barriers on integrating GAI in green logistics</t>
  </si>
  <si>
    <t>digital infrastructure gaps, high investment costs, and regulatory limitations</t>
  </si>
  <si>
    <t>systematic (94)</t>
  </si>
  <si>
    <t>Decision-making framework; Generative artificial intelligence; Green logistics; Policy initiatives; Sustainable development; Systematic literature review</t>
  </si>
  <si>
    <t>Systems Analysis and Modeling Laboratory and Decision Support, National School of Applied Sciences, Hassan First University, Berrechid, Morocco</t>
  </si>
  <si>
    <t>El jaouhari A.</t>
  </si>
  <si>
    <t>Journal of Cleaner Production</t>
  </si>
  <si>
    <t>El jaouhari A.; Samadhiya A.; Kumar A.; Luthra S.</t>
  </si>
  <si>
    <t>Integrating generative artificial intelligence into green logistics: A systematic review and policy-oriented research agenda</t>
  </si>
  <si>
    <t>LLM-augmented KG</t>
  </si>
  <si>
    <t>product design</t>
  </si>
  <si>
    <t>First focused survey at the intersection of LLMs and KGs in complex product design. Introduces a framework for integrated system development</t>
  </si>
  <si>
    <t>limited domain: product design
limited tech: LLM-empowered KG</t>
  </si>
  <si>
    <t>applications of LLM-augmented KG, proposed an integrated technical framework</t>
  </si>
  <si>
    <t>Scalability; Interpretability and Transparency; Maintenance and update</t>
  </si>
  <si>
    <t>LLM + knowledge graph</t>
  </si>
  <si>
    <t>Applications + Value&amp;Impact</t>
  </si>
  <si>
    <t>systematic (100)</t>
  </si>
  <si>
    <t>Complex Product Design; Intelligent Manufacturing; Knowledge Graph; Large Language Model</t>
  </si>
  <si>
    <t>School of Mechanical Engineering and Automation, Beihang University, Beijing, China</t>
  </si>
  <si>
    <t>Liang X.</t>
  </si>
  <si>
    <t>Liang, Xinxin; Wang, Zuoxu; Liu, Jihong</t>
  </si>
  <si>
    <t>A survey of large language model-augmented knowledge graphs for advanced complex product design</t>
  </si>
  <si>
    <t>machine vision</t>
  </si>
  <si>
    <t>first large-scale systematic review of GenAI's role in industrial vision based; a framework of success criteria focusing on model architecture and data requirements.
[good tech paragraph]
Results:
- GenAI has been primarily applied in **data augmentation**, **image enhancement**, and **anomaly detection** tasks such as classification and object detection.
- Success factors include using simpler, stable architectures, ensuring domain similarity, and addressing data challenges (acquisition size, diversity, preprocessing, image pairing)
- Key obstacles include insufficient defect samples, noisy or unbalanced data, and computational constraints</t>
  </si>
  <si>
    <t>limited domain: machine vision
Not recent and therefore lacks sufficient coverage of current empirical studies</t>
  </si>
  <si>
    <r>
      <t xml:space="preserve">first large-scale systematic review of GenAI's role in industrial vision based; Success factors include using </t>
    </r>
    <r>
      <rPr>
        <sz val="11"/>
        <color rgb="FFFF0000"/>
        <rFont val="Calibri"/>
        <family val="2"/>
        <scheme val="minor"/>
      </rPr>
      <t>simpler, stable architectures</t>
    </r>
    <r>
      <rPr>
        <sz val="11"/>
        <color theme="1"/>
        <rFont val="Calibri"/>
        <family val="2"/>
        <scheme val="minor"/>
      </rPr>
      <t xml:space="preserve">, ensuring </t>
    </r>
    <r>
      <rPr>
        <sz val="11"/>
        <color rgb="FFFF0000"/>
        <rFont val="Calibri"/>
        <family val="2"/>
        <scheme val="minor"/>
      </rPr>
      <t>domain similarity</t>
    </r>
    <r>
      <rPr>
        <sz val="11"/>
        <color theme="1"/>
        <rFont val="Calibri"/>
        <family val="2"/>
        <scheme val="minor"/>
      </rPr>
      <t xml:space="preserve">, and addressing </t>
    </r>
    <r>
      <rPr>
        <sz val="11"/>
        <color rgb="FFFF0000"/>
        <rFont val="Calibri"/>
        <family val="2"/>
        <scheme val="minor"/>
      </rPr>
      <t>data challenges</t>
    </r>
  </si>
  <si>
    <t>insufficient defect samples, noisy or unbalanced data, and computational constraints</t>
  </si>
  <si>
    <t>systematic (168, 2018-2023 Sept)</t>
  </si>
  <si>
    <t>Deep Learning; Generative Artificial Intelligence; Machine learning; Machine vision; Manufacturing</t>
  </si>
  <si>
    <t>Laboratory for Machine Tools and Production Engineering, WZL, RWTH Aachen University, Campus-Boulevard 30, Aachen, 52074, Germany</t>
  </si>
  <si>
    <t>Zhou H.A.</t>
  </si>
  <si>
    <t>Zhou, H.A.; Wolfschläger, D.; Florides, C.; Werheid, J.; Behnen, H.; Woltersmann, J.-H.; Pinto, T.C.; Kemmerling, M.; Abdelrazeq, A.; Schmitt, R.H.</t>
  </si>
  <si>
    <t>Generative AI in industrial machine vision: a review</t>
  </si>
  <si>
    <t>systematic review of the latest advancements (tech architectures and pre-training methods) and applications of VLMs in HRC</t>
  </si>
  <si>
    <t>limited domain: Human-robot collaboration
limited tech: VLM</t>
  </si>
  <si>
    <t>architectures, pretraining methods, and applications of VLM in HRC (task planning, navigation, manipulation, and multimodal skill transfer), challenges &amp; outlook.</t>
  </si>
  <si>
    <t>real-time processing, computational demands, and handling dynamic environments</t>
  </si>
  <si>
    <t>systematic (109)</t>
  </si>
  <si>
    <t>human–robot collaboration; large language odels; smart manufacturing; vision-language models</t>
  </si>
  <si>
    <t>Department of Industrial and Systems Engineering, The Hong Kong Polytechnic University, 999077, Hong Kong</t>
  </si>
  <si>
    <t>Fan, Junming; Yin, Yue; Wang, Tian; Dong, Wenhang; Zheng, Pai; Wang, Lihui</t>
  </si>
  <si>
    <t>Vision-language model-based human-robot collaboration for smart manufacturing: A state-of-the-art survey</t>
  </si>
  <si>
    <t>data synthesis</t>
  </si>
  <si>
    <t>limited domain: supply chain
limited use case: data synthesis</t>
  </si>
  <si>
    <t>a framework based on MLOps (SCMLOps) to map out how synthetic data can address the ML challenges</t>
  </si>
  <si>
    <t>Data privacy; Dynamic process management; Controlled generation of synthetic data; Interpretability</t>
  </si>
  <si>
    <t>GenAI for data synthesis</t>
  </si>
  <si>
    <t>narrative</t>
  </si>
  <si>
    <t>data generation; generative AI; Machine learning; MLOps; supply chain; synthetic data</t>
  </si>
  <si>
    <t>Department of Engineering, University of Cambridge, Cambridge, UK, United Kingdom</t>
  </si>
  <si>
    <t>Long Y.</t>
  </si>
  <si>
    <t>Long, Yunbo; Kroeger, Sebastian; Zaeh, Michael F.; Brintrup, Alexandra</t>
  </si>
  <si>
    <t>Leveraging synthetic data to tackle machine learning challenges in supply chains: challenges, methods, applications, and research opportunities</t>
  </si>
  <si>
    <t xml:space="preserve">discuss eight key areas where GenAI applications could enhance supply chain resilience: a) digitalization and automation, b) demand and inventory planning, c) geo-political risks, d) procurement and sourcing, e) transportation and logistics, f) sustainability, g) labor, and h) policy and governance
</t>
  </si>
  <si>
    <t>limited domain: supply chain</t>
  </si>
  <si>
    <t>map applications across 8 supply chain functions</t>
  </si>
  <si>
    <t>hallucination, cybersecurity, governance, accountability, and fragility of overreliance</t>
  </si>
  <si>
    <t>supply chain resilience</t>
  </si>
  <si>
    <t>Life of Virginia Professor of Business, Raymond A. Mason School of Business, The College of William and Mary, United States</t>
  </si>
  <si>
    <t>Boone T.</t>
  </si>
  <si>
    <t>Boone T.; Fahimnia B.; Ganeshan R.; Herold D.M.; Sanders N.R.</t>
  </si>
  <si>
    <t>Generative AI: Opportunities, challenges, and research directions for supply chain resilience</t>
  </si>
  <si>
    <t>LLM</t>
  </si>
  <si>
    <t>only cover predictive maintenance, chatbots, digital twins, process planning, code generation; Not recent and therefore lacks sufficient coverage of current empirical studies</t>
  </si>
  <si>
    <t>evolution, techs of LLMs; LLMs applications in the mechanical engineering domain</t>
  </si>
  <si>
    <t xml:space="preserve">stochasticity; hallucination; domain data deficit; lack of evaluation metrics; right post-training infrastructure </t>
  </si>
  <si>
    <t>deign; manufacturing; mechanics</t>
  </si>
  <si>
    <t>systematic</t>
  </si>
  <si>
    <t>Creativity; Engineering design; Generative AI; Generative pre-trained transformer; Intelligent digital twins; Intelligent maintenance; Large language models; Manufacturing; Mechanical engineering; Mechanics; Pre-trained language models</t>
  </si>
  <si>
    <t>Department of Mechanical, Materials and Manufacturing Engineering, Faculty of Science and Engineering, University of Nottingham (MalaysiaMalaysia Campus), Semenyih, 43500, Malaysia</t>
  </si>
  <si>
    <t>Mustapha K.B.</t>
  </si>
  <si>
    <t>Mustapha, K. B.</t>
  </si>
  <si>
    <t>A survey of emerging applications of large language models for problems in mechanics, product design, and manufacturing</t>
  </si>
  <si>
    <t>LLM in DT</t>
  </si>
  <si>
    <t>limited tech: with digital twin</t>
  </si>
  <si>
    <t>roles and functions of LLM in DT, a framework named Interactive-DT for LLM-DT technical integration pathway</t>
  </si>
  <si>
    <t>hallucination; bias; inference speed</t>
  </si>
  <si>
    <t>LLM + digital twin</t>
  </si>
  <si>
    <t>No specific</t>
  </si>
  <si>
    <t>Applications + Value&amp;Impact + Strategy</t>
  </si>
  <si>
    <t>narrative (25)</t>
  </si>
  <si>
    <t>Digital twins; Industry 5.0; Intelligent manufacturing; Large language models</t>
  </si>
  <si>
    <t>Guangdong Provincial Key Laboratory of Cyber-Physical System, Guangdong University of Technology, Guangzhou, 510006, China</t>
  </si>
  <si>
    <t>Chen C.</t>
  </si>
  <si>
    <t>Chen, Chong; Zhao, Kuanhong; Leng, Jiewu; Liu, Chao; Fan, Junming; Zheng, Pai</t>
  </si>
  <si>
    <t>Integrating large language model and digital twins in the context of industry 5.0: Framework, challenges and opportunities</t>
  </si>
  <si>
    <t>Not recent and therefore lacks sufficient coverage of current empirical studies on the adoption and application of Generative AI in manufacturing</t>
  </si>
  <si>
    <r>
      <t xml:space="preserve">LLMs </t>
    </r>
    <r>
      <rPr>
        <sz val="11"/>
        <color rgb="FFFF0000"/>
        <rFont val="Calibri"/>
        <family val="2"/>
        <scheme val="minor"/>
      </rPr>
      <t>tech</t>
    </r>
    <r>
      <rPr>
        <sz val="11"/>
        <color theme="1"/>
        <rFont val="Calibri"/>
        <family val="2"/>
        <scheme val="minor"/>
      </rPr>
      <t xml:space="preserve"> is summarized; a </t>
    </r>
    <r>
      <rPr>
        <sz val="11"/>
        <color rgb="FFFF0000"/>
        <rFont val="Calibri"/>
        <family val="2"/>
        <scheme val="minor"/>
      </rPr>
      <t>framework</t>
    </r>
    <r>
      <rPr>
        <sz val="11"/>
        <color theme="1"/>
        <rFont val="Calibri"/>
        <family val="2"/>
        <scheme val="minor"/>
      </rPr>
      <t xml:space="preserve"> for theoretical potentials and pathways for </t>
    </r>
    <r>
      <rPr>
        <sz val="11"/>
        <color rgb="FFFF0000"/>
        <rFont val="Calibri"/>
        <family val="2"/>
        <scheme val="minor"/>
      </rPr>
      <t>applying LLMs;</t>
    </r>
    <r>
      <rPr>
        <sz val="11"/>
        <color theme="1"/>
        <rFont val="Calibri"/>
        <family val="2"/>
        <scheme val="minor"/>
      </rPr>
      <t xml:space="preserve"> challenges and future directions</t>
    </r>
  </si>
  <si>
    <t>data collection; computing resource; interpretability and hallucination; Ethical and privacy</t>
  </si>
  <si>
    <t>systematic (157)</t>
  </si>
  <si>
    <t>Industry 5.0; Intelligent manufacturing; Large language models; LLM applications; New-generation artificial intelligence</t>
  </si>
  <si>
    <t>State Key Laboratory for Manufacturing Systems Engineering, Xi'an Jiaotong University, Xi'an, 710054, China</t>
  </si>
  <si>
    <t>Zhang C.</t>
  </si>
  <si>
    <t>Zhang, C.; Xu, Q.; Yu, Y.; Zhou, G.; Zeng, K.; Chang, F.; Ding, K.</t>
  </si>
  <si>
    <t>A survey on potentials, pathways and challenges of large language models in new-generation intelligent manufacturing</t>
  </si>
  <si>
    <t>limited tech</t>
  </si>
  <si>
    <t>limited use case</t>
  </si>
  <si>
    <t>limited domain</t>
  </si>
  <si>
    <t>Outdated and lacking empirical coverage of recent GenAI applications in manufacturing</t>
  </si>
  <si>
    <t>Summary</t>
  </si>
  <si>
    <t>Limitations</t>
  </si>
  <si>
    <t>Included in comparison</t>
  </si>
  <si>
    <t>Rating (0-5)</t>
  </si>
  <si>
    <t>Comments</t>
  </si>
  <si>
    <t>Challenges &amp; future direction</t>
  </si>
  <si>
    <t>Technology</t>
  </si>
  <si>
    <t>Domain</t>
  </si>
  <si>
    <t>Review type (sample size)</t>
  </si>
  <si>
    <t>Construction of waste-to-resource knowledge graph for industrial symbiosis identification using large language models</t>
  </si>
  <si>
    <t>3DprintMIND: An AI-Agent system using large language models and dynamic manufacturing knowledge graphs for smart manufacturing</t>
  </si>
  <si>
    <t>Towards large language model for cognitive industrial mixed reality: A survey</t>
  </si>
  <si>
    <t>Large language model-empowered dynamic scheduling for intelligent hybrid flow shop using multi-agent deep reinforcement learning</t>
  </si>
  <si>
    <t>Making manufacturing knowledge graph more intelligent: A knowledge intelligence management method for manufacturing enterprises</t>
  </si>
  <si>
    <t>A novel paradigm of robotic machining towards embodied intelligent manufacturing: Case study on paint defect repair</t>
  </si>
  <si>
    <t>You are my eyes: Integrating human intelligence and LLMs in AR-assisted motion planning for industrial mobile robots</t>
  </si>
  <si>
    <t>GNN-LLM hybrid cognitive architectures for generative task adaptation in multi-human multi-robot collaborative disassembly</t>
  </si>
  <si>
    <t>Proactive safety reasoning in human-robot collaboration in disassembly through LLM-augmented STPA and FMEA</t>
  </si>
  <si>
    <t>Perception-decision-execution coordination mechanism driven dynamic autonomous collaboration method for human-like collaborative robot based on multimodal large language model</t>
  </si>
  <si>
    <t>Towards zero-shot robot tool manipulation in industrial context: A modular VLM framework enhanced by multimodal affordance representation</t>
  </si>
  <si>
    <t>Human–robot collaborative visual inspection with Large Language Models</t>
  </si>
  <si>
    <t>CCM-FCC: LLM-powered cognition-centered AI agent framework for proactive human-robot collaboration</t>
  </si>
  <si>
    <t>Agent technologies in smart manufacturing: A comprehensive review of evolution, architectures, and edge–cloud deployment</t>
  </si>
  <si>
    <t>A review of multi-modal deep learning towards agentic smart manufacturing</t>
  </si>
  <si>
    <t>LLM-Guided risk-sensitive reinforcement learning for smart factories in the scenario of human-robot symbiosis</t>
  </si>
  <si>
    <t>MALM-CLIP: A generative multi-agent framework for multimodal fusion in few-shot industrial anomaly detection</t>
  </si>
  <si>
    <t>LLM-enhanced embodied multi-agent manufacturing system: A novel self-organizing production paradigm for embodied perception, embodied analysis and embodied decision</t>
  </si>
  <si>
    <t>MCMAS: Causality-driven collaborative optimization in low-carbon industrial parks with large language models-empowered multi-agent systems</t>
  </si>
  <si>
    <t>Aircraft assembly process planning based on knowledge graph constructed by integrating LLMs and SLMs</t>
  </si>
  <si>
    <t>LLM based autonomous agent of human-robot collaboration for aerospace wire harnessing assembly</t>
  </si>
  <si>
    <t>Probing AR-assisted seamless HRC assembly for industry 5.0: Multi-modal mutual cognition and LLM-driven knowledge reasoning</t>
  </si>
  <si>
    <t>Cognitive digital twins for capability matching toward reconfigurable manufacturing: Leveraging asset administration shells and large language models</t>
  </si>
  <si>
    <t>Grid-to-Robot: Deep Wasserstein generative modeling of robot/power grid interaction using hybrid adversarial Residual Networks</t>
  </si>
  <si>
    <t>PhyViT-GAN: Physics-Guided MobileViT-GAN for precise self-alignment image generation</t>
  </si>
  <si>
    <t>A Knowledge Graph and Large Language Model Framework for Customized Manufacturing: A Case Study in Furniture Panel Production</t>
  </si>
  <si>
    <t>An intelligent Digital Twin based on machine learning for interpretable decision-making in manufacturing</t>
  </si>
  <si>
    <t>Harnessing collective intelligence of multi-agent LLM systems for sensor failure reasoning in smart manufacturing</t>
  </si>
  <si>
    <t>Uncovering the risks of digital supply chains: A large language model framework for semantic identification and validation</t>
  </si>
  <si>
    <t>Intelligent generation and reasoning method for aviation assembly knowledge graph based on joint knowledge embedding learning</t>
  </si>
  <si>
    <t>Integrating large language models into manufacturing execution systems: A systematic framework for photoresist manufacturing processes</t>
  </si>
  <si>
    <t>A Large language model-based multi-agent manufacturing system for intelligent shopfloors</t>
  </si>
  <si>
    <t>Enhancing anomaly detection with few-shot fine-tuned long text-to-image models</t>
  </si>
  <si>
    <t>Customizable GenAI system for assisting job scheduling in a flexible manufacturing system consisting of multiple factories</t>
  </si>
  <si>
    <t>Towards a next-generation LLM empowered low-code programming industrial robotic system for human-centric smart manufacturing</t>
  </si>
  <si>
    <t>Industrial applications of generative artificial intelligence: transformations in processes, design, and production</t>
  </si>
  <si>
    <t>GenPattern: dual-graph enhanced sewing pattern generation via multimodal large language model</t>
  </si>
  <si>
    <t>IM-Chat: A multi-agent LLM framework integrating tool-calling and diffusion modeling for knowledge transfer in injection molding industry</t>
  </si>
  <si>
    <t>From invisible to visible: How artificial intelligence facilitates generativity in product architecture</t>
  </si>
  <si>
    <t>AI-aided Automated AR-Assisted Assembly Instruction Authoring and Generation method</t>
  </si>
  <si>
    <t>WamGLM: A multimodal large-scale language model for wafer map defect information in-depth query through multi-turn dialogue based on prototypical supervised contrastive learning</t>
  </si>
  <si>
    <t>AI Agents and Agentic AI–navigating a plethora of concepts for future manufacturing</t>
  </si>
  <si>
    <t>Fault analysis in additive manufacturing: Identifying causes of three-dimensional printer faults using machine learning and large language models</t>
  </si>
  <si>
    <t>Zhao, L.; Sun, Y.; Ren, J.; Gao, H.; Xiao, G.</t>
  </si>
  <si>
    <t>Li, L.; Zhang, Y.; Makanda, I.L.D.; Jiang, P.</t>
  </si>
  <si>
    <t>Fang, W.; Xu, Y.; Zhang, T.; Wang, Y.; Zheng, L.</t>
  </si>
  <si>
    <t>Gu, W.; Cao, Y.; Li, Y.; Li, N.; Wang, L.; Tang, N.; Yuan, M.; Pei, F.</t>
  </si>
  <si>
    <t>Liu, Z.; Hu, B.; Feng, Y.; Lu, C.; Tan, J.</t>
  </si>
  <si>
    <t>Wang, S.; Tan, Z.; Wang, Y.; Zhou, Z.; Zhu, D.</t>
  </si>
  <si>
    <t>Liu, S.; Jiacheng, J.; Wang, X.; Qiao, X.</t>
  </si>
  <si>
    <t>Tong, X.; Li, K.; Bao, J.</t>
  </si>
  <si>
    <t>Alenjareghi, M.J.; Ghorbani, F.; Keivanpour, S.; Chinniah, Y.A.; Jocelyn, S.</t>
  </si>
  <si>
    <t>Chen, J.; Huang, S.; Wang, X.; Wang, P.; Zhu, J.; Xu, Z.; Wang, G.; Yan, Y.; Wang, L.</t>
  </si>
  <si>
    <t>Zhou, Q.; Gu, Y.; Li, J.; Feng, B.; Li, B.; Bi, Y.</t>
  </si>
  <si>
    <t>Tasneem, O.; Pieters, R.</t>
  </si>
  <si>
    <t>Ding, P.; Zhang, J.; Zhang, P.; Li, H.; Wang, D.</t>
  </si>
  <si>
    <t>Hu, K.; Yao, X.; Qiao, F.</t>
  </si>
  <si>
    <t>Leng, J.; Wang, J.; Zhou, L.; Zhao, R.; Chen, C.; Zhang, D.; Zheng, S.; Liu, Q.; Shen, W.</t>
  </si>
  <si>
    <t>Wang, W.; Zhou, P.</t>
  </si>
  <si>
    <t>Chen, H.; Que, J.; Zhu, K.; Chen, Z.; Zhu, F.; Yang, W.; Yang, X.; Yang, X.</t>
  </si>
  <si>
    <t>Liu, C.; Tang, D.; Zhu, H.; Wang, L.; Cai, Q.; Nie, Q.</t>
  </si>
  <si>
    <t>Wu, T.; Li, J.; Liu, Q.; Bao, J.</t>
  </si>
  <si>
    <t>Ma, Y.; Zheng, S.; Yang, Z.; Zheng, P.; Leng, J.; Hong, J.</t>
  </si>
  <si>
    <t>Wang, Y.; Guo, Q.; Zheng, L.; Wang, B.; Zheng, P.; Qi, Z.</t>
  </si>
  <si>
    <t>Ma, Y.; Tang, D.; Zhu, H.; Cai, Q.; Zhang, Z.; Wang, L.; Liu, C.</t>
  </si>
  <si>
    <t>Shi, D.; Meyer, O.; Fan, Z.; Wang, H.; Bauernhansl, T.</t>
  </si>
  <si>
    <t>Safari, A.; Kharrati, H.; Rahimi, A.; Tavallaei, M.A.</t>
  </si>
  <si>
    <t>Barot, M.; Kim, J.; Won, D.; Yoon, S.W.</t>
  </si>
  <si>
    <t>Zhang, C.; Liu, B.; Yao, X.; Jing, X.</t>
  </si>
  <si>
    <t>Genetti, S.; Scarton, G.; Formentini, M.; Iacca, G.</t>
  </si>
  <si>
    <t>Gong, W.; Qiao, S.; Cao, C.; Tan, S.; Ye, J.; Liu, H.; Chen, S.; Wang, X.</t>
  </si>
  <si>
    <t>Fang, J.; Su, B.; Wang, S.; Wang, B.</t>
  </si>
  <si>
    <t>Liu, P.; Zhang, Y.; Yang, Y.; Zhao, X.; Tao, B.</t>
  </si>
  <si>
    <t>Fan, S.-K.S.; Wang, J.-T.; Jen, C.-H.</t>
  </si>
  <si>
    <t>Zhao, Z.; Tang, D.; Liu, C.; Wang, L.; Zhang, Z.; Zhu, H.; Chen, K.; Nie, Q.; Ji, Y.</t>
  </si>
  <si>
    <t>Liu, J.; An, J.; Lu, J.; Yang, Z.; Wang, J.; Lu, P.; Wang, Y.; Shen, L.</t>
  </si>
  <si>
    <t>Chen, T.-C.T.; Chiu, M.-C.; Lin, Y.-C.</t>
  </si>
  <si>
    <t>Dong, W.; Li, D.; Ji, Y.; Chen, H.; Liu, S.; Ma, Z.; Hao, F.; Ji, Y.; Xing, H.; Zheng, P.</t>
  </si>
  <si>
    <t>Valencia-Arias, A.; Rodriguez-Correa, P.A.; Jimenez Garcia, J.A.; Valencia, J.; Gallegos, A.; Cardona-Acevedo, S.; Benjumea-Arias, M.L.</t>
  </si>
  <si>
    <t>Gui, H.; Yang, Z.; Rachana Harish, A.R.; Ren, C.; Yang, Y.; Li, M.</t>
  </si>
  <si>
    <t>Lee, J.; Kim, J.-Y.; Kim, H.; Lee, I.; Ryu, S.</t>
  </si>
  <si>
    <t>Zhao, J.; Xu, Y.; Zou, B.; Xi, X.; Liu, W.</t>
  </si>
  <si>
    <t>Lin, J.; Wang, J.; Feng, P.; Zhang, X.; Yu, D.; Zhang, J.</t>
  </si>
  <si>
    <t>Gu, S.; Lei, Z.; Wen, G.; Xu, Q.; Li, Z.S.; Chen, X.; Yang, C.</t>
  </si>
  <si>
    <t>Ren, Y.; Liu, Y.; Ji, T.; Xu, X.</t>
  </si>
  <si>
    <t>Karabiyik, M.A.</t>
  </si>
  <si>
    <t>Nature Communications</t>
  </si>
  <si>
    <t>Expert Systems with Applications</t>
  </si>
  <si>
    <t>Information Fusion</t>
  </si>
  <si>
    <t>Applied Soft Computing</t>
  </si>
  <si>
    <t>Engineering Applications of Artificial Intelligence</t>
  </si>
  <si>
    <t>Discover Artificial Intelligence</t>
  </si>
  <si>
    <t>Journal of Systems and Software</t>
  </si>
  <si>
    <t>State Key Laboratory for Manufacturing Systems Engineering, Xi'an, Shaanxi, China</t>
  </si>
  <si>
    <t>State Key Laboratory of Fluid Power and Mechatronic Systems, Hangzhou, Zhejiang, China</t>
  </si>
  <si>
    <t>College of Mechanical Engineering, Donghua University, Shanghai, Shanghai, China</t>
  </si>
  <si>
    <t>Global College, Shanghai Jiao Tong University, Shanghai, China</t>
  </si>
  <si>
    <t>Automation Technology and Mechanical Engineering, Tampere University, Tampere, Pirkanmaa, Finland</t>
  </si>
  <si>
    <t>Nanjing University of Aeronautics and Astronautics, Nanjing, Jiangsu, China</t>
  </si>
  <si>
    <t>Thomas J. Watson College of Engineering and Applied Science, Binghamton, NY, United States</t>
  </si>
  <si>
    <t>Università di Trento, Trento, TN, Italy</t>
  </si>
  <si>
    <t>Department of Industrial Engineering and Management, National Taipei University of Technology, Taipei, Taiwan</t>
  </si>
  <si>
    <t>Department of Mechanical Engineering, Tsinghua University, Beijing, China</t>
  </si>
  <si>
    <t>Department of Mechanical and Mechatronics Engineering, University of Auckland, Auckland, AUK, New Zealand</t>
  </si>
  <si>
    <t>Department of Computer Technologies, Niğde Ömer Halisdemir University, Nigde, Nigde, Turkey</t>
  </si>
  <si>
    <t>School of Electrical and Electronic Engineering, Singapore City, Singapore</t>
  </si>
  <si>
    <t>School of Intelligent Engineering and Automation, Beijing University of Posts and Telecommunications, Beijing, Beijing, China</t>
  </si>
  <si>
    <t>College of Mechanical and Electrical Engineering, Hohai University Changzhou, Changzhou, Jiangsu, China</t>
  </si>
  <si>
    <t>Wuhan University of Technology, Wuhan, Hubei, China</t>
  </si>
  <si>
    <t>College of Mechanical Engineering, Taiyuan University of Technology, Taiyuan, Shanxi, China</t>
  </si>
  <si>
    <t>Department of Mathematics and Industrial Engineering, Polytechnique Montréal, Montreal, QC, Canada</t>
  </si>
  <si>
    <t>School of Mechanical Engineering, Beijing Institute of Technology, Beijing, China</t>
  </si>
  <si>
    <t>School of Electronics and Information Engineering, Tongji University, Shanghai, China</t>
  </si>
  <si>
    <t>State Key Laboratory of Precision Electronic Manufacturing Technology and Equipment, Guangdong University of Technology, Guangzhou, Guangdong, China</t>
  </si>
  <si>
    <t>Guizhou University, Guiyang, Guizhou, China</t>
  </si>
  <si>
    <t>College of Computer and Cyber Security, Fujian Normal University, Fuzhou, Fujian, China</t>
  </si>
  <si>
    <t>School of Software Engineering, Xi'an Jiaotong University, Xi'an, Shaanxi, China</t>
  </si>
  <si>
    <t>Beihang University, Beijing, China</t>
  </si>
  <si>
    <t>Fraunhofer Institute for Manufacturing Engineering and Automation IPA, Stuttgart, Baden-Wurttemberg, Germany</t>
  </si>
  <si>
    <t>Automotive and Materials Engineering, University of Windsor, Windsor, ON, Canada</t>
  </si>
  <si>
    <t>Guangxi Key Laboratory of Manufacturing System &amp; Advanced Manufacturing Technology, Guilin University of Electronic Technology, Guilin, Guangxi, China</t>
  </si>
  <si>
    <t>Department of Pediatrics, University of Science and Technology of China, Hefei, Anhui, China</t>
  </si>
  <si>
    <t>School of Business, Wenzhou University, Wenzhou, Zhejiang, China</t>
  </si>
  <si>
    <t>Institute for Innovation and Development, Tsinghua University, Beijing, China</t>
  </si>
  <si>
    <t>School of Computer Science and Software Engineering, Shenzhen University, Shenzhen, Guangdong, China</t>
  </si>
  <si>
    <t>Department of Industrial Engineering and Management, National Yang Ming Chiao Tung University, Hsinchu, Taiwan</t>
  </si>
  <si>
    <t>Department of Industrial and Systems Engineering, The Hong Kong Polytechnic University, Hong Kong, Hong Kong, Hong Kong</t>
  </si>
  <si>
    <t>School of Industrial Engineering, Universidad Señor de Sipán, Chiclayo, Lambayeque, Peru</t>
  </si>
  <si>
    <t>Korea Advanced Institute of Science and Technology, Daejeon, South Korea</t>
  </si>
  <si>
    <t>School of Economics and Management, Harbin Engineering University, Harbin, Heilongjiang, China</t>
  </si>
  <si>
    <t>Xi'an Jiaotong University, Xi'an, Shaanxi, China</t>
  </si>
  <si>
    <t>3D printing production line; Ai-agent system; Continuous learning; Dynamic manufacturing knowledge graph; Retrieval-augmented generation; Smart manufacturing</t>
  </si>
  <si>
    <t>A survey; Industrial mixed reality; Industry 5.0; Intelligent manufacturing; Large language model</t>
  </si>
  <si>
    <t>Large language model; Multi-agent deep reinforcement learning; Multi-agent manufacturing systems; Stage-wise coordination</t>
  </si>
  <si>
    <t>Automatic construction and refinement; Knowledge management; Large language models; Manufacturing knowledge graph; Natural interactive application</t>
  </si>
  <si>
    <t>Embodied intelligent manufacturing; Grinding process decision-making; High-speed train; Large language model; Paint defect repair</t>
  </si>
  <si>
    <t>Augmented reality; Human intelligence; Human-machine hybrid augmented intelligence; Industrial mobile robots; Large language models; Motion planning</t>
  </si>
  <si>
    <t>Digital Twin; Generative AI; Graph Neural Network; Large Language Model; Lithium Battery Disassembly; Multi-human Multi-robot Collaboration</t>
  </si>
  <si>
    <t>Disassembly; Human-robot collaboration; Large language models; Risk assessment; Safety; STPA-FMEA</t>
  </si>
  <si>
    <t>Dynamic autonomous collaboration; Human-centric smart manufacturing; Human-like collaborative robot; Human-robot collaboration; Multimodal large language model; Perception-decision-execution coordination</t>
  </si>
  <si>
    <t>Affordance representation; Robot tool manipulation; Vision language model; Visual prompt</t>
  </si>
  <si>
    <t>Auto path planning; Generative AI; Human–robot collaboration; Large Language Models; Local LLM; Natural language processing; Prompt engineering; Visual inspection</t>
  </si>
  <si>
    <t>AI agent; Proactive human-robot collaboration; Smart manufacturing</t>
  </si>
  <si>
    <t>Agentic AI; Cloud–edge–device architecture; Cooperative control; Industry 5.0; Intelligent automation; LLM-driven agents; Multi-agent systems; Smart manufacturing</t>
  </si>
  <si>
    <t>agentic AI; Agentic smart manufacturing; Intelligent manufacturing; Multi-modal deep learning</t>
  </si>
  <si>
    <t>Bayesian neural networks; LLM Agent; Risk-sensitive reinforcement learning; Robot agent; Smart factory</t>
  </si>
  <si>
    <t>CLIP; Few-shot learning; GenAI; Industrial anomaly detection; Multi-agent systems</t>
  </si>
  <si>
    <t>Embodied analysis; Embodied decision; Embodied perception; Large language model; Multi-agent manufacturing system; Self-organizing negotiation</t>
  </si>
  <si>
    <t>coordinated scheduling optimization; decision evaluation; dual cross-validation mechanism; large language model; low-carbon smart industrial parks; multi-energy causal dynamic model</t>
  </si>
  <si>
    <t>Domain-centric knowledge adaptation; Knowledge graph construction; Large language models; Process planning; Smart manufacturing</t>
  </si>
  <si>
    <t>Human-robot collaboration; Large language model agent; Wire harnessing assembly</t>
  </si>
  <si>
    <t>AR-assisted guidance; Human-centric manufacturing; Human-robot collaborative assembly; LLM-driven knowledge reasoning; Multimodal cognition</t>
  </si>
  <si>
    <t>Asset administration shell; Capability matching; Cognitive digital twin; Large language model; Reconfigurable manufacturing; Retrieval-augmented generation</t>
  </si>
  <si>
    <t>Deep learning; Generative Artificial Intelligence; Power grid; Renewable energy; Robotic manipulator</t>
  </si>
  <si>
    <t>Deep learning; Generative AI (GenAI); Physics-Guided learning; Self-alignment; Smart electronics manufacturing; Surface Mount Technology</t>
  </si>
  <si>
    <t>knowledge fusion; knowledge graph; knowledge modeling; knowledge question-answering; large language model</t>
  </si>
  <si>
    <t>Decision-making; Digital Twin; Explainability; Large Language Models; Production scheduling; Supply chain</t>
  </si>
  <si>
    <t>Large language models; Multi-agent systems; Sensor fault diagnosis; Smart manufacturing</t>
  </si>
  <si>
    <t>Digital supply chain transformation; Generative AI; LLMs; Supply chains risk</t>
  </si>
  <si>
    <t>Aviation assembly; Intelligent manufacturing; Knowledge embedding learning; Knowledge graph; Large language model</t>
  </si>
  <si>
    <t>Large Language Models (LLMs); Manufacturing execution systems (MES); Reinforcement learning (RL)</t>
  </si>
  <si>
    <t>Intelligent shopfloor; Large Language Model (LLM); Manufacturing system; Multi-agent</t>
  </si>
  <si>
    <t>Anomaly generation; Data filtering; Diffusion transformer model; Generative model; Industrial anomaly detection</t>
  </si>
  <si>
    <t>Flexible manufacturing system; Generative artificial intelligence; Genetic algorithm; Job scheduling; Three field notation</t>
  </si>
  <si>
    <t>Human-centric smart manufacturing; Industrial robotic systems; Large language models; Low-code programming</t>
  </si>
  <si>
    <t>Generative artificial intelligence; Industrial applications; Predictive models; Process optimization; Technology adoption</t>
  </si>
  <si>
    <t>Customized garment manufacturing; Dual-graph structure modelling; Graph convolutional networks; Human robot collaborative manufacturing; Multimodal large language model (MLLM)</t>
  </si>
  <si>
    <t>Artificial intelligence; Injection molding; Knowledge transfer; Large language model; Multi-agent</t>
  </si>
  <si>
    <t>AI application; Artificial intelligence–large language model; Generativity; Layered modular architecture; New energy vehicle</t>
  </si>
  <si>
    <t>Ai-aided; Assembly system; Augmented reality; Human–computer interaction; Point cloud</t>
  </si>
  <si>
    <t>Multi-turn dialogue dataset; Multimodal large language model; Prototypical supervised contrastive learning; Two-stage fine-tuning strategy; Wafer map defect information query</t>
  </si>
  <si>
    <t>Agentic AI; AI agents; Generative AI; Large Language models (LLMs); Multimodal LLMs (MLLMs)</t>
  </si>
  <si>
    <t>Image classification; Machine learning; Prompt engineering; Three dimensional-printer faults</t>
  </si>
  <si>
    <t>Löwhagen, N.; Schwendener, P.; Netland, T.</t>
  </si>
  <si>
    <t>Generative AI-powered planning: A hybrid graph-diffusion approach for demand-driven flexible manufacturing systems</t>
  </si>
  <si>
    <t>Generative artificial intelligence in manufacturing: applications, case studies, and future directions for next-generation intelligent production systems</t>
  </si>
  <si>
    <t>Enabling interoperable human–AI teaming for automation in construction and manufacturing via Digital Twins and Sliding Work Sharing ontologies</t>
  </si>
  <si>
    <t>Intelligent port logistics: A spatiotemporal knowledge graph and AI-agent framework for berth allocation</t>
  </si>
  <si>
    <t>DR-RAG: Domain-Rule-based Retrieval-Augmented Generation for aviation digital model design</t>
  </si>
  <si>
    <t>A knowledge graphs construction method enhanced by multimodal large language model for industrial equipment operation and maintenance</t>
  </si>
  <si>
    <t>Multi-modal causal hypergraph reasoning for enhancing collaborative diagnosis of equipment composite failures</t>
  </si>
  <si>
    <t>Large language model-enabled cognitive agent for self-aware manufacturing</t>
  </si>
  <si>
    <t>LLM-based multi-agent task planning for human-robot collaborative assembly balancing operator experience and efficiency</t>
  </si>
  <si>
    <t>Leveraging large language models in next generation intelligent manufacturing: Retrospect and prospect</t>
  </si>
  <si>
    <t>Diffusion model-driven smart design and manufacturing: Prospects and challenges</t>
  </si>
  <si>
    <t>SAMAC-R3-MED: Semantic alignment and multi-agent collaboration of retriever-reranker-responder models for multimodal engineering documents</t>
  </si>
  <si>
    <t>A novel assembly knowledge graph construction framework enhanced by large language model</t>
  </si>
  <si>
    <t>Generative artificial intelligence and internationalization green innovation: Roles of supply chain innovations and AI regulation for SMEs</t>
  </si>
  <si>
    <t>Do multimodal large language models understand welding?</t>
  </si>
  <si>
    <t>Li, C.; Chang, Q.</t>
  </si>
  <si>
    <t>Shahin, M.; Hosseinzadeh, A.; Chen, F.F.</t>
  </si>
  <si>
    <t>Karapanagiotis, P.; Kottagaha, K.; Rovere, D.; Bokhorst, J.A.C.; Valdata, A.; Emmanouilidis, C.</t>
  </si>
  <si>
    <t>Wang, P.; Hu, Q.; Mei, Q.; Wang, S.; Yang, Y.; Guo, D.; Liu, X.; Hu, W.; Chen, J.</t>
  </si>
  <si>
    <t>Xiong, X.; Cai, H.; Yu, H.; Shen, B.; Hu, P.</t>
  </si>
  <si>
    <t>Zhang, Z.; Yu, J.; Yang, B.; Du, K.; Wang, S.; Qi, X.</t>
  </si>
  <si>
    <t>Li, F.; Li, X.; Wen, S.; Bao, J.</t>
  </si>
  <si>
    <t>Lou, S.; Tan, R.; Zhou, Y.; Zhao, Z.; Zhang, Y.; Lv, C.</t>
  </si>
  <si>
    <t>Wang, B.; Zheng, L.; Wang, Y.; Qi, Z.</t>
  </si>
  <si>
    <t>Leng, J.; Su, X.; Liu, Z.; Zhou, L.; Chen, C.; Guo, X.; Wang, Y.; Wang, R.; Zhang, C.; Liu, Q.; Chen, X.; Shen, W.; Wang, L.</t>
  </si>
  <si>
    <t>Li, F.; Li, X.; Wen, S.; Huang, H.; Bao, J.</t>
  </si>
  <si>
    <t>Shao, P.; Huang, Z.; Qiao, L.; Xu, X.; Wan, Y.; Chen, C.; Li, Z.; Anwer, N.; Qie, Y.</t>
  </si>
  <si>
    <t>Wang, S.; Zhang, H.</t>
  </si>
  <si>
    <t>Khvatskii, G.; Lee, Y.S.; Angst, C.; Gibbs, M.; Landers, R.; Chawla, N.V.</t>
  </si>
  <si>
    <t>University of Virginia School of Engineering and Applied Science, Charlottesville, VA, United States</t>
  </si>
  <si>
    <t>Tickle College of Engineering, Knoxville, TN, United States</t>
  </si>
  <si>
    <t>Rijksuniversiteit Groningen, Groningen, Groningen, Netherlands</t>
  </si>
  <si>
    <t>Institute of Computing Technology Chinese Academy of Sciences, Beijing, Beijing, China</t>
  </si>
  <si>
    <t>Shanghai Jiao Tong University, Shanghai, China</t>
  </si>
  <si>
    <t>State Key Laboratory of Mechanical Transmission for Advanced Equipment, Chongqing University, Chongqing, China</t>
  </si>
  <si>
    <t>School of Mechanical and Aerospace Engineering, Singapore City, Singapore</t>
  </si>
  <si>
    <t>Guangdong University of Technology, Guangzhou, Guangdong, China</t>
  </si>
  <si>
    <t>International Business School, Fuzhou University of Foreign Studies and Trade, Fuzhou, Fujian, China</t>
  </si>
  <si>
    <t>College of Engineering, Notre Dame, IN, United States</t>
  </si>
  <si>
    <t>Diffusion model; Flexible smart manufacturing systems (FSMS); Generative AI; Graph neural network (GNN); Manufacturing system planning; Robot assignment</t>
  </si>
  <si>
    <t>Deep learning; Generative artificial intelligence; Informatics integration; Intelligent automation; Machine learning; Synthetic data</t>
  </si>
  <si>
    <t>Construction; Human-centric collaboration; Human–AI teaming; Manufacturing; Ontology; Robotics; Sliding Work Sharing</t>
  </si>
  <si>
    <t>Intelligent berth allocation; Multi-agent LLMs; Port logistics; Spatiotemporal knowledge graph; Yangtze River Delta</t>
  </si>
  <si>
    <t>Aviation design; Knowledge graph; Large language model; Product design &amp; manufacturing; Retrieval-Augmented Generation</t>
  </si>
  <si>
    <t>Attention mechanism; Equipment operation and maintenance; Multi-modal knowledge graph; Multimodal large language modals</t>
  </si>
  <si>
    <t>Causal relation cascade graph attention network; CoCT-prompted LLMs; Composite fault diagnosis; Human-machine collaborative; Multi-modal causal knowledge hypergraph</t>
  </si>
  <si>
    <t>Cognitive agent; In-context learning; Large language model; Retrieval-augmented generation; Task planning</t>
  </si>
  <si>
    <t>Human - robot collaborative assembly (HRCA); Human factors; Intelligent task planning; Large language models (LLMs); Multi-agent systems (MAS)</t>
  </si>
  <si>
    <t>Human centered intelligent manufacturing; Human–robot collaboration; Industry 5.0; Large language model</t>
  </si>
  <si>
    <t>Artificial Intelligence-Generated Content; Diffusion models; Generative Artificial Intelligence; Industry 5.0; Product lifecycle management; Smart manufacturing</t>
  </si>
  <si>
    <t>Multi-agent collaboration; Multimodal engineering documents; Multimodal semantic alignment; Retrieval-augmented generation; Retriever-Reranker-Responder</t>
  </si>
  <si>
    <t>Assembly process; Knowledge graph completion; Knowledge graph construction; Large language model; Natural language processing</t>
  </si>
  <si>
    <t>Artificial intelligence regulation; Generative artificial intelligence; SMEs; Social transformation; Supply chain innovation; Sustainable innovation</t>
  </si>
  <si>
    <t>AI in manufacturing; Multimodal Large Language Models (MLLMs); Real-world image classification; Skilled production work; Welding; WeldPrompt</t>
  </si>
  <si>
    <t>Reviewing human-robot collaboration in manufacturing: Opportunities and challenges in the context of industry 5.0</t>
  </si>
  <si>
    <t>Towards cognition-augmented human-centric assembly: A visual computation perspective</t>
  </si>
  <si>
    <t>Full automation or just a copilot? A study of large language models on spare parts demand forecasting with OpenAI o1-mini</t>
  </si>
  <si>
    <t>TriP-LLM: A Tri-Branch Patch-Wise Large Language Model Framework for Time-Series Anomaly Detection</t>
  </si>
  <si>
    <t>A Systematic Literature Review of Large Language Model Applications in Industry</t>
  </si>
  <si>
    <t>ChatSync: Large-Language-Model-Enabled Spatial–Temporal Knowledge Reasoning for Production Logistics Synchronization</t>
  </si>
  <si>
    <t>VMAD: Visual-enhanced Multimodal Large Language Model for Zero-Shot Anomaly Detection</t>
  </si>
  <si>
    <t>Dhanda, M.; Rogers, B.A.; Hall, S.; Dekoninck, E.; Dhokia, V.</t>
  </si>
  <si>
    <t>Pang, J.; Zheng, P.; Fan, J.; Liu, T.</t>
  </si>
  <si>
    <t>Abbaszadeh Nakhost, M.; Bloemer, A.; Minner, S.</t>
  </si>
  <si>
    <t>Yu, Y.-C.; Ouyang, Y.-C.; Lin, C.-A.</t>
  </si>
  <si>
    <t>Moenks, N.; Penava, P.; Büttner, R.</t>
  </si>
  <si>
    <t>Li, J.; Zhao, Z.; Yang, C.; Huang, S.; Lee, L.-H.; Huang, G.Q.</t>
  </si>
  <si>
    <t>Deng, H.; Luo, H.; Zhai, W.; Guo, Y.; Cao, Y.; Kang, Y.</t>
  </si>
  <si>
    <t>University of Bath, Department of Mechanical Engineering, Bath, Somerset, United Kingdom</t>
  </si>
  <si>
    <t>TUM School of Management, Munich, Munich, Bayern, Germany</t>
  </si>
  <si>
    <t>Department of Electrical Engineering, National Chung Hsing University, Taichung, Taiwan</t>
  </si>
  <si>
    <t>Helmut Schmidt University - University of the Federal Armed Forces Hamburg, Hamburg, Hamburg, Germany</t>
  </si>
  <si>
    <t>Research Institute for Advanced Manufacturing, The Hong Kong Polytechnic University, Hong Kong, Hong Kong, Hong Kong</t>
  </si>
  <si>
    <t>School of Information Science and Technology, University of Science and Technology of China, Hefei, Anhui, China</t>
  </si>
  <si>
    <t>Artificial Intelligence; Digital Manufacturing; Human Robot Collaboration; Industry 5.0; Ontology</t>
  </si>
  <si>
    <t>Brain computer interface; Cloud service; Cognitive assistance; Computer vision; Human-centric assembly; Large language model; Metaverse</t>
  </si>
  <si>
    <t>demand forecasting; Large language models (LLMs); prompt engineering; self-reflection; spare parts demand forecasting</t>
  </si>
  <si>
    <t>Anomaly detection; large language models; multivariate time-series</t>
  </si>
  <si>
    <t>industry; Large language model; LLM application; LLM use cases; porter value chain; systematic literature review</t>
  </si>
  <si>
    <t>Industrial Internet of Things (IIoT); large-language model (LLM); production logistic (PL); reasoning optimization; resource allocation; responsible AI</t>
  </si>
  <si>
    <t>Anomaly Detection; Multimodal Large Language Models; Zero-Shot Learning</t>
  </si>
  <si>
    <t>Balancing privacy considerations and customization preferences for consumer: LLMs adoption and coordination strategies in supply chains</t>
  </si>
  <si>
    <t>Dynamic scheduling of wafer batch processing machines via reinforcement learning enhanced by expert-guided lightweight LLM</t>
  </si>
  <si>
    <t>Natural language-driven production planning: integrating large language models with automatic simulation model generation in manufacturing systems</t>
  </si>
  <si>
    <t>A deep learning based method for identifying product manufacturing information in engineering drawings</t>
  </si>
  <si>
    <t>Enhancing supply chain visibility with knowledge graphs and large language models</t>
  </si>
  <si>
    <t>Interactive Semantics-Enhanced Vision-Language Model-Driven Hypergraph Reasoning for Robotic Decision-Making in Proactive Human-Robot Collaboration</t>
  </si>
  <si>
    <t>GRAG-ProSafe QAS: Graph retrieval-augmented generation for process production safety intelligent question and answer system</t>
  </si>
  <si>
    <t>Future Factories with 6G: Agentic AI and Cyber-Physical Digital Twins</t>
  </si>
  <si>
    <t>Intelligent extraction of manufacturing system components from natural language using transformer models</t>
  </si>
  <si>
    <t>Αn AI-driven approach to assess sentiments and interpret context in a critical mineral supply chain</t>
  </si>
  <si>
    <t>Dou, R.; Nan, G.; Pan, Y.; Liu, X.</t>
  </si>
  <si>
    <t>Xiang, W.; Zhang, J.; Zhang, P.; Wang, M.</t>
  </si>
  <si>
    <t>Elbasheer, M.; Laili, Y.; Longo, F.; Solina, V.; Tao, Y.; Veltri, P.; Zhang, Y.; Zhang, L.</t>
  </si>
  <si>
    <t>Zong, Y.; Xu, Y.; Cai, M.; Tong, X.; Ning, F.; Zhang, Y.</t>
  </si>
  <si>
    <t>AlMahri, S.; Xu, L.; Brintrup, A.</t>
  </si>
  <si>
    <t>Ding, P.; Zhang, J.; Zhang, P.</t>
  </si>
  <si>
    <t>Zhang, J.; Zhang, W.; Wei, Q.; Zhong, H.; Miao, Y.</t>
  </si>
  <si>
    <t>Li, H.; Madhukumar, H.; Methley, N.; Chen, X.; Wu, Y.; Parra-Ullauri, J.; Sharma, V.; Lee, J.; Koblitz, A.R.; Andrews, M.; Liu, S.; Deng, Y.; Kolawole, O.Y.; Tassi, A.; Dimitra Simeonidou, D.</t>
  </si>
  <si>
    <t>Boudribila, A.; Tajer, A.; Boulghasoul, Z.</t>
  </si>
  <si>
    <t>Joglekar, N.; Nie, W.; Alem Fonseca, M.; Tsolakis, N.; Kumar, M.</t>
  </si>
  <si>
    <t>School of Management, University of Science and Technology of China, Hefei, Anhui, China</t>
  </si>
  <si>
    <t>Department of Management and Economics, Tianjin University, Tianjin, China</t>
  </si>
  <si>
    <t>College of Information Science and Technology, Donghua University, Shanghai, Shanghai, China</t>
  </si>
  <si>
    <t>Department of Mechanics, Università della Calabria, Rende, CS, Italy</t>
  </si>
  <si>
    <t>School of Automation Science and Electrical Engineering, Beihang University, Beijing, China</t>
  </si>
  <si>
    <t>Institute for Manufacturing, Department of Engineering, Cambridge, Cambridgeshire, United Kingdom</t>
  </si>
  <si>
    <t>School of Civil and Hydraulic Engineering, Huazhong University of Science and Technology, Wuhan, Hubei, China</t>
  </si>
  <si>
    <t>Department of Electrical and Electronic Engineering, University of Bristol, Bristol, United Kingdom</t>
  </si>
  <si>
    <t>System Engineering and Applications Laboratory, Cadi Ayyad University, Marakech, Marrakesh-Safi, Morocco</t>
  </si>
  <si>
    <t>Villanova University, Villanova, PA, United States</t>
  </si>
  <si>
    <t>Consumer uncertainty; Large language models (LLMs); Operations and supply chain management (OSCM); Privacy concerns; Product customization</t>
  </si>
  <si>
    <t>intelligent manufacturing; lightweight large language models (LLMs); multi-agent collaboration; semiconductor manufacturing; Wafer batch-processing machine scheduling</t>
  </si>
  <si>
    <t>Decision support; GenAI; LLMs; Production planning; Simulation</t>
  </si>
  <si>
    <t>Engineering drawings; Information extraction; Product manufacturing information; Quality control</t>
  </si>
  <si>
    <t>digital supply chain surveillance; knowledge graphs; large language models; natural language processing; supply chain mapping; Supply chain visibility</t>
  </si>
  <si>
    <t>Human-robot collaboration; Hypergraph reasoning; Robotic decision-making; Smart manufacturing</t>
  </si>
  <si>
    <t>Knowledge graph; Large language models; Process production safety; Question and Answer System; Retrieval-augmented generation</t>
  </si>
  <si>
    <t>Agentic AI; digital twin; large language model; network system automation; retrieval augmented generation; Smart factory</t>
  </si>
  <si>
    <t>control programs; fine-tuning LLMs; large language models (LLMs); manufacturing systems; named entity recognition (NER); Natural language processing (NLP)</t>
  </si>
  <si>
    <t>context and sentiment; context enhanced supply chain sentiment and summaries; critical mineral supply chains; Long context LLMs; reliability and interpretability</t>
  </si>
  <si>
    <t>Balancing performance and innovation in AI-driven supply chains through temperature-scaled hallucination control</t>
  </si>
  <si>
    <t>From Generative AI Adoption to Sustainable Performance Operations Capability Mediation and Environmental Dynamism</t>
  </si>
  <si>
    <t>Generative AI, cognitive load, and supply chain risk perception: the moderating role of AI literacy</t>
  </si>
  <si>
    <t>Generative AI-Driven resilience in supply chain management: UNISONE framework for disruption modelling and capacity optimisation</t>
  </si>
  <si>
    <t>Achieving green competitive advantage through generative AI: the mediating roles of organisational creativity and green innovation ambidexterity in manufacturing</t>
  </si>
  <si>
    <t>Supply Chain Management in the Era of Generative AI (ChatGPT): Technology Fit and Psychological Drivers of Adoption</t>
  </si>
  <si>
    <t>The Use of Artificial Intelligence in Supply Chain Management: Systematic Literature Review and Future Research Directions</t>
  </si>
  <si>
    <t>Enhancing supply chain visibility with generative AI: an exploratory case study on relationship prediction in knowledge graphs</t>
  </si>
  <si>
    <t>Generative artificial intelligence–driven sustainable supply chain management: a UNISONE framework for smart logistics and predictive analytics under Industry 5.0</t>
  </si>
  <si>
    <t>Supply Chain Management With Generative Artificial Intelligence and Internet of Behaviors</t>
  </si>
  <si>
    <t>Circular supply chain for smart production in Industry 4.0</t>
  </si>
  <si>
    <t>IEEE Transactions on Engineering Management</t>
  </si>
  <si>
    <t>School of Economics and Management, Xi'an University of Technology, Xi'an, Shaanxi, China</t>
  </si>
  <si>
    <t>Department of Industrial Engineering and Management, National Kaohsiung University of Science and Technology, Kaohsiung, Taiwan</t>
  </si>
  <si>
    <t>Department of Logistics and Maritime Studies, The Hong Kong Polytechnic University, Hong Kong, Hong Kong, Hong Kong</t>
  </si>
  <si>
    <t>Supply Chain AI Lab, Department of Engineering, Cambridge, Cambridgeshire, United Kingdom</t>
  </si>
  <si>
    <t>School of Fashion and Textiles, The Hong Kong Polytechnic University, Hong Kong, Hong Kong, Hong Kong</t>
  </si>
  <si>
    <t>AI hallucinations; Generative AI; hyperparameter tuning; innovation; supply chain management; temperature scaling</t>
  </si>
  <si>
    <t>China; environmental dynamism; generative AI; manufacturing; moderated mediation; operations capability; panel data; sustainable performance</t>
  </si>
  <si>
    <t>artificial intelligence literacy; cognitive load; Generative AI; probabilistic technologies; supply chain risk perception; task-technology fit theory</t>
  </si>
  <si>
    <t>disruption management; Generative AI (GAI); industry; innovation and infrastructure; risk mitigation; supply chain resilience</t>
  </si>
  <si>
    <t>environmental context; Generative AI capabilities; green competitive advantage; green innovation ambidexterity; organisational context; technological context</t>
  </si>
  <si>
    <t>ChatGPT; Gen-AI; Generative AI; SOR Model; Supply Chain Management; Task Technology Fit</t>
  </si>
  <si>
    <t>Artificial intelligence; machine learning; supply chain management; systematic literature review</t>
  </si>
  <si>
    <t>Generative artificial intelligence (GenAI); knowledge graph (KG); link prediction; machine learning; pretrained language models (pretrained LMs); supply chain visibility</t>
  </si>
  <si>
    <t>generative artificial intelligence (GAI); Industry 5.0; industry, innovation and infrastructure; smart logistics; Sustainable supply chain management (SSCM)</t>
  </si>
  <si>
    <t>Generative artificial intelligence (GAI); internet of behaviors (IoB); supply chain management</t>
  </si>
  <si>
    <t>Circular Supply Chain; Generative AI; Industry; Industry 4.0; Innovation and Infrastructure; Smart Production</t>
  </si>
  <si>
    <t>Zouaghi, I.; Beldjoudi, S.; Gunasekaran, A.; Fosso Wamba, S.; Sehrane, S.</t>
  </si>
  <si>
    <t>He, M.; Yang, S.</t>
  </si>
  <si>
    <t>Li, R.; Wu, J.; Niu, N.; Song, Y.</t>
  </si>
  <si>
    <t>Lin, K.-Y.; Wu, S.-Y.; Matsuno, K.</t>
  </si>
  <si>
    <t>Ruangkanjanases, A.; Chen, S.-C.; Sivarak, O.; Khan, A.</t>
  </si>
  <si>
    <t>Aslam, J.; Saleem, A.; Lai, K.-H.</t>
  </si>
  <si>
    <t>Ferreira, A.C.A.; Brendon Francisco, M.B.; Pinho, A.F.D.</t>
  </si>
  <si>
    <t>Zheng, G.; Brintrup, A.</t>
  </si>
  <si>
    <t>Lin, K.-Y.</t>
  </si>
  <si>
    <t>Chan, H.-L.; Siqin, T.</t>
  </si>
  <si>
    <t>Department of Industrial Engineering, Ecole Nationale Polytechnique, Algiers, Algiers Province, Algeria</t>
  </si>
  <si>
    <t>Chulalongkorn Business School, Bangkok, Thailand</t>
  </si>
  <si>
    <t>Institute of Production Engineering and Management, Universidade Federal de Itajubá, Itajuba, MG, Brazil</t>
  </si>
  <si>
    <t>Ma, Y.</t>
  </si>
  <si>
    <t>Li, F.</t>
  </si>
  <si>
    <t>Wang, S.</t>
  </si>
  <si>
    <t>Zhang, C.</t>
  </si>
  <si>
    <t>Ding, P.</t>
  </si>
  <si>
    <t>Deng, H.</t>
  </si>
  <si>
    <t>Li, C.</t>
  </si>
  <si>
    <t>Barot, M.</t>
  </si>
  <si>
    <t>Lee, J.</t>
  </si>
  <si>
    <t>Zheng, G.</t>
  </si>
  <si>
    <t>Fang, J.</t>
  </si>
  <si>
    <t>Chen, T.-C.T.</t>
  </si>
  <si>
    <t>Wang, P.</t>
  </si>
  <si>
    <t>Abbaszadeh Nakhost, M.</t>
  </si>
  <si>
    <t>Xiang, W.</t>
  </si>
  <si>
    <t>Shi, D.</t>
  </si>
  <si>
    <t>Genetti, S.</t>
  </si>
  <si>
    <t>Liu, P.</t>
  </si>
  <si>
    <t>Liu, J.</t>
  </si>
  <si>
    <t>Lin, J.</t>
  </si>
  <si>
    <t>Karapanagiotis, P.</t>
  </si>
  <si>
    <t>Zhang, Z.</t>
  </si>
  <si>
    <t>Aslam, J.</t>
  </si>
  <si>
    <t>Safari, A.</t>
  </si>
  <si>
    <t>Gong, W.</t>
  </si>
  <si>
    <t>Fan, S.-K.S.</t>
  </si>
  <si>
    <t>Zhao, Z.</t>
  </si>
  <si>
    <t>Dong, W.</t>
  </si>
  <si>
    <t>Gui, H.</t>
  </si>
  <si>
    <t>Zhao, J.</t>
  </si>
  <si>
    <t>Gu, S.</t>
  </si>
  <si>
    <t>Löwhagen, N.</t>
  </si>
  <si>
    <t>Zhao, L.</t>
  </si>
  <si>
    <t>Li, L.</t>
  </si>
  <si>
    <t>Xiong, X.</t>
  </si>
  <si>
    <t>Gu, W.</t>
  </si>
  <si>
    <t>Lou, S.</t>
  </si>
  <si>
    <t>Liu, Z.</t>
  </si>
  <si>
    <t>Wang, B.</t>
  </si>
  <si>
    <t>Liu, S.</t>
  </si>
  <si>
    <t>Shao, P.</t>
  </si>
  <si>
    <t>Tong, X.</t>
  </si>
  <si>
    <t>Alenjareghi, M.J.</t>
  </si>
  <si>
    <t>Khvatskii, G.</t>
  </si>
  <si>
    <t>Chen, J.</t>
  </si>
  <si>
    <t>Zhou, Q.</t>
  </si>
  <si>
    <t>Tasneem, O.</t>
  </si>
  <si>
    <t>Elbasheer, M.</t>
  </si>
  <si>
    <t>Zong, Y.</t>
  </si>
  <si>
    <t>Yu, Y.-C.</t>
  </si>
  <si>
    <t>Zhang, J.</t>
  </si>
  <si>
    <t>Li, J.</t>
  </si>
  <si>
    <t>Boudribila, A.</t>
  </si>
  <si>
    <t>Dou, R.</t>
  </si>
  <si>
    <t>He, M.</t>
  </si>
  <si>
    <t>AlMahri, S.</t>
  </si>
  <si>
    <t>Li, H.</t>
  </si>
  <si>
    <t>Joglekar, N.</t>
  </si>
  <si>
    <t>Wang, W.</t>
  </si>
  <si>
    <t>Zouaghi, I.</t>
  </si>
  <si>
    <t>Chen, H.</t>
  </si>
  <si>
    <t>Li, R.</t>
  </si>
  <si>
    <t>Liu, C.</t>
  </si>
  <si>
    <t>Ruangkanjanases, A.</t>
  </si>
  <si>
    <t>Wu, T.</t>
  </si>
  <si>
    <t>Chan, H.-L.</t>
  </si>
  <si>
    <t>Wang, Y.</t>
  </si>
  <si>
    <t>Conversational Crowdsensing in the Age of Industry 5.0: A Parallel Intelligence and Large Models Powered Novel Sensing Approach</t>
  </si>
  <si>
    <t>Toward Automated Programming for Robotic Assembly Using ChatGPT</t>
  </si>
  <si>
    <t>Knowledge graph-based manufacturing process planning: A state-of-the-art review</t>
  </si>
  <si>
    <t>Zhu, Z.; Zhao, Y.; Qiu, S.; Xu, K.; Yin, Q.; Huang, J.; Liu, Z.; Wang, F.-Y.</t>
  </si>
  <si>
    <t>MacAluso, A.; Cote, N.; Chitta, S.</t>
  </si>
  <si>
    <t>Xiao, Y.; Zheng, S.; Shi, J.; Du, X.; Hong, J.</t>
  </si>
  <si>
    <t>IEEE Transactions on Computational Social Systems</t>
  </si>
  <si>
    <t>Proceedings - IEEE International Conference on Robotics and Automation</t>
  </si>
  <si>
    <t>College of Systems Engineering, National University of Defense Technology China, Changsha, Hunan, China</t>
  </si>
  <si>
    <t>University of California, San Diego, La Jolla, CA, United States</t>
  </si>
  <si>
    <t>Conversational crowdsensing; crowdsensing intelligence (CSI); Industry 50; large language models (LLMs); parallel intelligence; retrieval augmented generation (RAG)</t>
  </si>
  <si>
    <t>CAPP; Knowledge graph; Process knowledge graph; Process planning</t>
  </si>
  <si>
    <t>MacAluso, A.</t>
  </si>
  <si>
    <t>Zhu, Z.</t>
  </si>
  <si>
    <t>The paper implements a working pipeline (retrieval, extraction, fusion) and validates it on curated annotations plus manual quality checks, then demonstrates an offline UI/case-study—no live operational integration</t>
  </si>
  <si>
    <t>GenAI generates and structures knowledge (W2RKG) and supports human decision-making for symbiosis opportunity identification; it does not execute or control real processes—humans interpret and act on outputs</t>
  </si>
  <si>
    <t>recycling</t>
  </si>
  <si>
    <t>residual hallucination risk</t>
  </si>
  <si>
    <t>The agent plans multi-step tool use and drafts reports/work orders and schedule updates, but the architecture explicitly keeps operators “on the loop” with manual authorization/approval for actions and safety-critical control</t>
  </si>
  <si>
    <t>The work builds a working prototype platform integrating LLM-driven MKG construction, TGN retrieval, MKG-RAG, and an AI-agent with multiple tools, validated via a laboratory 3D-printing production-line case study—not field deployment</t>
  </si>
  <si>
    <t>Railway</t>
  </si>
  <si>
    <t>Knowledge management and user attitudes toward AI</t>
  </si>
  <si>
    <t>Electronics</t>
  </si>
  <si>
    <t>They implement an integrated prototype (IoT/MAMS architecture + LLM semantic extraction + multi-agent RL scheduler) and validate on a prototype experimental platform with generated instances and comparative tests—no live factory pilot</t>
  </si>
  <si>
    <t>The trained agents generate scheduling decisions and (in the proposed architecture) issue execution commands via the adaptation layer, but this is demonstrated in a controlled prototype setup; real-world governance/approval remains implicit</t>
  </si>
  <si>
    <t>"safety/governance for execution not addressed"</t>
  </si>
  <si>
    <t>Steelmaking</t>
  </si>
  <si>
    <t>KG-augmented LLM</t>
  </si>
  <si>
    <t>The paper implements working agents (construction, refinement, Q&amp;A) and validates them on real enterprise steel documents with quantitative extraction metrics and expert evaluations, but no live MES/ERP integration or field pilot deployment</t>
  </si>
  <si>
    <t>GenAI automates knowledge extraction/refinement and answers engineers’ questions, improving decision support and retrieval. It does not execute production control, scheduling, or shop-floor actions; humans consume outputs and act</t>
  </si>
  <si>
    <t>The system is demonstrated on a realistic high-speed train body repair platform, using real defect images and an industrial ABB robot executing generated code, with quality measured against process standards—still a case study, not sustained deployment</t>
  </si>
  <si>
    <t>After perception, the fine-tuned LLM autonomously selects repair parameters and the system automatically generates and sends executable robot programs for grinding, including multi-defect sequencing; routine execution does not require per-action human approval</t>
  </si>
  <si>
    <t>Field pilots – Component validation in relevant environment</t>
  </si>
  <si>
    <t>this is still done in a lab</t>
  </si>
  <si>
    <t>Mining</t>
  </si>
  <si>
    <t>A full prototype integrates AR interface, edge-deployed reasoning LLM, digital-twin preview, and ROS mobile robot control, validated via a proof-of-concept maintenance scenario in an experimental hall, not field deployment.</t>
  </si>
  <si>
    <t>The LLM generates motion plans and executable code, but operators provide scene annotations, inject semantic constraints, preview in AR, and can modify/approve plans before execution—humans stay “on the loop.”</t>
  </si>
  <si>
    <t>The work integrates DT + multi-sensor/GUI + GNN learning + LLM RAG/critic + planning modules and validates end-to-end on a controlled LIB disassembly testbed with UR5s and human participants, not in production operations</t>
  </si>
  <si>
    <t>The system autonomously generates task allocation/sequence adaptations for unscheduled disturbances, but safety is ensured via DT simulation and operators can initiate/override control; humans remain “on the loop” in this experimental implementation</t>
  </si>
  <si>
    <t>assembly/human–robot collaboration</t>
  </si>
  <si>
    <t>The paper develops and benchmarks an LLM-based safety-reasoning system (fine-tuned/RAG/RAG+KG) on curated hazardous scenarios and an EV battery disassembly case study, without integration into live shop-floor safety operations</t>
  </si>
  <si>
    <t>The system generates interpretable, standards-aligned hazard analyses and mitigation recommendations to support human safety engineers/operators. It does not autonomously control robots or enforce safety actions; humans decide and implement controls</t>
  </si>
  <si>
    <t>The paper integrates perception (RGB-D + detection), decision (RAG over assembly docs), execution (ROS action library) and validates end-to-end in a controlled engine-assembly testbed with repeated trials; no operational factory pilot.</t>
  </si>
  <si>
    <t>The system autonomously perceives, decides which tool to deliver, and executes navigation/grasping without step-by-step human input, but it remains a supervised lab HRC setup where humans define tasks/process and oversee safety.</t>
  </si>
  <si>
    <t>VLM; LLM agents</t>
  </si>
  <si>
    <t>A fully integrated system is implemented (multi-agent VLM pipeline + perception + force control + monitoring) and validated via repeated real-robot experiments on 10 industrial tool tasks in a controlled lab setup, not factory pilots</t>
  </si>
  <si>
    <t>GenAI plans and initiates manipulation steps and executes them autonomously through primitives with online corrections, but tasks/goals are defined by humans and experiments assume supervision and safety intervention; not sustained out-of-loop operation</t>
  </si>
  <si>
    <t>quality inspection/human–robot collaboration</t>
  </si>
  <si>
    <t>Paper</t>
  </si>
  <si>
    <t>The paper demonstrates an integrated prototype (STT + local LLM code generation + parsing + perception/path planning + ROS control) validated through simulation and a real “dummy suction roll” PoC, not a live plant pilot</t>
  </si>
  <si>
    <t>The LLM translates natural-language commands into executable inspection steps and initiates robot actions, but humans provide instructions, supervise execution, and can stop/override; low-level control remains deterministic under ROS for safety</t>
  </si>
  <si>
    <t>The paper integrates an LLM-based cognitive core with multiple functional modules and an RL execution layer, and validates end-to-end via controlled assembly/disassembly case studies and benchmark evaluations, not in a real plant</t>
  </si>
  <si>
    <t>The agent proactively plans and initiates robot actions (task allocation, sequencing, execution) based on predicted task factors, while humans remain in the collaborative loop defining goals and supervising safety during HRC tasks</t>
  </si>
  <si>
    <t>The paper integrates an LLM instruction agent with a robot navigation stack (BNN uncertainty + risk-sensitive RL) and validates it in simulation and a robot platform setup using a real-factory-derived scenario, not a deployed plant pilot</t>
  </si>
  <si>
    <t>The LLM converts human commands into structured task goals and the robot agent executes navigation autonomously under risk constraints, but objectives originate from humans and the system is positioned for supervised use in safety-critical environments</t>
  </si>
  <si>
    <t>The paper is an offline algorithmic PoC validated on public benchmark datasets (MVTec, VisA) with AUROC comparisons and ablations; there is no integration with real inspection hardware or production IT/OT</t>
  </si>
  <si>
    <t>GenAI’s role is to generate and refine textual prompts/descriptions that improve anomaly detection models. It does not initiate or execute shop-floor actions; outputs support downstream inspection decisions by humans/systems</t>
  </si>
  <si>
    <t>The system is implemented and evaluated as an integrated prototype in a real workshop-like environment (machine tools + AGVs) with live/near-live multi-source data and disturbance scenarios, beyond pure offline benchmarks</t>
  </si>
  <si>
    <t>The LLM-enabled agents autonomously detect disturbances, predict progress/failures, and negotiate scheduling/maintenance actions, but humans still define goals/constraints and approve or supervise execution (e.g., AR-mediated verification)</t>
  </si>
  <si>
    <t>The paper presents an end-to-end prototype integrating causal digital-twin modeling, multi-agent RL scheduling, and LLM-based evaluation, validated on six months of real park data in a controlled simulation environment (not live operations)</t>
  </si>
  <si>
    <t>The system automatically generates coordinated multi-energy schedules via learned policies and evaluates them with LLM-driven confidence reports, but it is framed as decision support/assurance for operators and tested offline, not autonomous deployment</t>
  </si>
  <si>
    <t>They build and validate a working prototype system and a full KG construction pipeline using real company process documents (APO-800) plus controlled experiments and a web prototype, but not a live operational pilot.</t>
  </si>
  <si>
    <t>GenAI extracts entities, builds a KG, answers questions, and recommends process steps; it does not autonomously execute production actions. Engineers remain decision-makers who review and edit generated plans.</t>
  </si>
  <si>
    <t>build and validate a working prototype system using real company process documents (APO-800) plus controlled experiments and a web prototype</t>
  </si>
  <si>
    <t>The paper implements an end-to-end integrated prototype (LLM agent + tool library + vision + ROS robot control + memory). Validation is repeated experiments on a controlled aerospace wire-harnessing testbed, not a production pilot</t>
  </si>
  <si>
    <t>The agent decomposes tasks and autonomously calls tools to move/grab/guide assembly steps, but humans provide instructions/goals and supervise execution; the system acknowledges hallucinations and suggests rule-based verification for safety</t>
  </si>
  <si>
    <t>A complete AR-assisted HRC system is implemented and experimentally validated in a controlled aero-engine model assembly environment (HoloLens2 + cobots + cameras), with comparative trials, but not deployed in a live production line</t>
  </si>
  <si>
    <t>The LLM component functions as an expert RAG assistant that answers queries, recommends task steps, and suggests quality optimizations. It supports humans/cobots but does not autonomously run shop-floor operations end-to-end</t>
  </si>
  <si>
    <t>They implement an integrated IT architecture (FastAPI/Vue tool + BaSyx AAS server/registry + OpenAI RAG + CoT matching) and validate it on historical machining orders in a small machining center, not live production execution</t>
  </si>
  <si>
    <t>The LLM system automatically recommends machine capabilities and selects suitable machines from a pool (planning initiation), but process engineers still define process segments and supervise decisions; no autonomous closed-loop control on shop floor.</t>
  </si>
  <si>
    <t>The LLM acts as a planner/copilot that translates requirements into capability templates and recommends the most suitable machine with rationales</t>
  </si>
  <si>
    <t>Process monitoring</t>
  </si>
  <si>
    <t>data augmentation</t>
  </si>
  <si>
    <t>GenAI is used to generate data and build predictive power models to support engineers’ planning/analytics. It does not initiate or execute operational actions (dispatch, control, energy switching) in real time</t>
  </si>
  <si>
    <t>The “facility” is studied via simulation workflow (PyBullet + MATLAB/Simulink) with synthetic data generation and offline predictive modeling. No prototype integrated with real robots, sensors, or plant energy systems</t>
  </si>
  <si>
    <t>The authors build a working prototype and validate image-generation performance using a controlled laboratory SMT setup with real inspection machines (SPI/Pre-AOI/Post-AOI) and 2,250 captured images, but no factory deployment.</t>
  </si>
  <si>
    <t>The model generates Post-AOI images to help engineers visualize self-alignment outcomes and potential defects for analysis and process optimization. It does not initiate or execute production actions; humans use outputs for decisions.</t>
  </si>
  <si>
    <t>Furniture</t>
  </si>
  <si>
    <t>The framework is validated with real factory orders and production logs in a furniture plant, building a large Neo4j KG and a working QA system with quantitative evaluations, but not reported as fully deployed operations.</t>
  </si>
  <si>
    <t>The LLM supports humans by interpreting queries, retrieving KG facts (Cypher), and generating process/planning answers for designers/managers. It does not autonomously execute scheduling/control actions; humans remain decision owners</t>
  </si>
  <si>
    <t>The paper builds and tests a functional KG+LLM QA prototype using real furniture-panel production data and controlled evaluation metrics, but it remains an offline validation without demonstrated in-operation integration or pilot use</t>
  </si>
  <si>
    <t>action research</t>
  </si>
  <si>
    <t>The framework is developed with an industrial partner and validated using a real dataset of customer orders (via SAP MII) plus stakeholder evaluation in the company context, but it is not yet reported as fully running in live operations</t>
  </si>
  <si>
    <t>The multi-agent LLM produces structured diagnostic reasoning and selects fault answers to support maintenance decisions. It does not execute interventions, control equipment, or close the loop; humans remain responsible for actions</t>
  </si>
  <si>
    <t>The system is validated via offline experiments on a text-based benchmark dataset (FailureSensorIQ) with accuracy/time metrics and ablations. There is no integration with live sensors, SCADA/MES, or operational deployment</t>
  </si>
  <si>
    <t>The LLM does not schedule or execute actions; it translates learned decision-tree policies into natural-language explanations to help planners understand and trust recommendations. Humans remain the decision-makers for scheduling and rescheduling</t>
  </si>
  <si>
    <t>Risk mitigation</t>
  </si>
  <si>
    <t>They build an end-to-end pipeline (LLM prompt-tuned triple extraction → Neo4j KG → subgraph-embedding QA) and demonstrate a “knowledge assistance software” on real manuals, but not as a deployed shop-floor system</t>
  </si>
  <si>
    <t>The system answers engineers’ natural-language questions and generates step-by-step assembly guidance from manuals/KG. It does not execute assembly actions or control equipment; humans follow, verify, and remain accountable</t>
  </si>
  <si>
    <t>photoresist</t>
  </si>
  <si>
    <t>They implement an integrated prototype (MLP surrogate + PPO control agent + GPT-3.5 function-calling + MES interaction demos with guardrails). Validation is controlled/offline using archival data and simulated interactions, not an operational pilot</t>
  </si>
  <si>
    <t>The LLM can autonomously invoke the RL agent and generate prescriptive adjustment actions and reports, and the paper frames possible evolution toward automation, but current evidence is advisory with humans supervising execution</t>
  </si>
  <si>
    <t>LLM-based agents negotiate and trigger machine/transfer actions via MSMs with “minimal human intervention,” selecting machines and dispatching workpieces in real time. Humans mainly set prompts/objectives; routine decisions execute automatically</t>
  </si>
  <si>
    <t>The system is implemented end-to-end and demonstrated on a physical intelligent shopfloor laboratory with multiple real resources (AGVs, CNCs, robot), executing orders and comparing makespan/variance across repeated runs.</t>
  </si>
  <si>
    <t>The work integrates multiple components (LLM decision/negotiation + MSM execution layer + physical resources) and validates end-to-end behavior on a controlled shopfloor testbed, without evidence of in-plant pilot deployment</t>
  </si>
  <si>
    <t>data augmentation/Multimodal LLM</t>
  </si>
  <si>
    <t>The pipeline is validated through offline experiments on the public MVTec AD dataset with generation metrics (IS/LPIPS/KID) and downstream classification/detection improvements; no integration with factory inspection systems or field use</t>
  </si>
  <si>
    <t>GenAI generates synthetic defect images and prompts to improve anomaly detection models. It does not execute inspection decisions in production or trigger actions; it supports engineers by augmenting training data and model performance</t>
  </si>
  <si>
    <t>The system is applied to a real precision machining context (Taichung) with real scheduling data and evaluated on 100+ scheduling problems for a 3-factory/18-machine FMS, including exporting results to downstream project management</t>
  </si>
  <si>
    <t>The system automatically translates natural-language requirements into a formal scheduling model and generates/executes GA optimization to produce schedules, but humans define objectives/constraints and decide whether/how to enact the schedule</t>
  </si>
  <si>
    <t>The study integrates LLM multi-agent parsing, RAG assistance, vision-based localization, and PLC-controlled robot execution into one system and validates it in a controlled aircraft-panel drilling setup with user experiments, not an in-plant pilot</t>
  </si>
  <si>
    <t>The system converts natural language into executable drilling commands and can autonomously trigger robot actions, but includes a mandatory human verification step and emphasizes preserving operator authority for safety-critical execution</t>
  </si>
  <si>
    <t>The paper implements an end-to-end prototype integrating multimodal MLLM generation, structured graph reasoning, tokenization/decoding, and a physical HRCC cutting platform (UR10e + sensors). Validation is experimental, not an in-factory pilot</t>
  </si>
  <si>
    <t>The system interprets user intent (text+image) and automatically generates fabrication-ready patterns and robot cutting code, driving cutting actions; however, humans initiate requests and supervise safety/collisions and production decisions.</t>
  </si>
  <si>
    <t>injection molding</t>
  </si>
  <si>
    <t>The system is grounded in a relevant industrial setting: it uses real production data collected from a factory over six months, with minute-level sensor logging, vision-based quality inspection, and CMS-recorded process settings</t>
  </si>
  <si>
    <t>IM-Chat plans tasks, retrieves documents, and can invoke diffusion-generated parameter sets, but it functions as a decision-support interface for workers; humans provide inputs, review recommendations, and execute adjustments</t>
  </si>
  <si>
    <t>quantitative panel econometrics</t>
  </si>
  <si>
    <t>Resource-Based View; generativity</t>
  </si>
  <si>
    <t>AI application measured via AI-related patents identified using supervised ML on patent text (TF–IDF + classifiers). LLM adoption measured via media coverage counts. Two-stage regression tests hypotheses</t>
  </si>
  <si>
    <t>LLM chatbot; Multimodal LLM</t>
  </si>
  <si>
    <t>The paper builds an integrated prototype (RGBD capture + VR no-code authoring + point-cloud registration + LLM text generation + HoloLens deployment) and validates it via controlled case/user studies, not an in-plant pilot</t>
  </si>
  <si>
    <t>GenAI helps author and generate AR work instructions (text and guidance assets) from demonstrations. It does not execute assembly tasks or control equipment; workers remain “button pressers” following guidance</t>
  </si>
  <si>
    <t>Electronic</t>
  </si>
  <si>
    <t>They present a runnable end-to-end VLM prototype and validate core functions (defect recognition + multi-turn defect information Q&amp;A) on a real wafer map dataset with controlled experiments, not in-plant integration</t>
  </si>
  <si>
    <t>WamGLM answers engineers’ questions (defect type, features, root cause, preventive measures) through dialogue. It does not execute process changes or control equipment; humans interpret, decide, and act.</t>
  </si>
  <si>
    <t>Additive manufacturing</t>
  </si>
  <si>
    <t>The paper builds an integrated prototype (classifier + prompt generator + LLM + web UI + PEF evaluation). Validation is via controlled experiments on a small image dataset and user study, not a relevant/operational deployment</t>
  </si>
  <si>
    <t>The LLM provides personalized explanations and resolution strategies after a fault label is predicted. It does not execute machine actions or control parameters; humans remain decision-makers and implement fixes.</t>
  </si>
  <si>
    <t>data augmentation (diffusion model)</t>
  </si>
  <si>
    <t>The full pipeline (system identification model + HG representation + constrained diffusion generation + ICC refinement) is validated in a controlled simulation environment across many instances and compared to baselines, not deployed in an operational plant</t>
  </si>
  <si>
    <t>The generative planner autonomously produces FSMS configurations (resources + topology + robot assignment) for given demand and selects an “optimal” plan, but execution remains outside the system; humans adopt/implement the plan</t>
  </si>
  <si>
    <t>e-commerce</t>
  </si>
  <si>
    <t>The artefact is an ontology system implemented and checked with standard reasoners, populated in test-bed ontologies, and queried via SPARQL; validation is controlled/test-bed, not operational deployment.</t>
  </si>
  <si>
    <t>GenAI is used to support ontology evaluation by generating competency questions via RAG; it does not execute shopfloor decisions or control processes—humans design, screen, and apply the outputs</t>
  </si>
  <si>
    <t>Maritime</t>
  </si>
  <si>
    <t>KG-augmented LLM; LLM agents</t>
  </si>
  <si>
    <t>The STK-LLM subsystem is demonstrated with real operational data (AIS + port/berth attributes) across many ports and a detailed Waigaoqiao case, reporting system-level KPIs (waiting/utilization) but without evidence of live production rollout.</t>
  </si>
  <si>
    <t>The framework generates ranked berth recommendations and supports “intelligent decision-making” for dispatch/port managers; it initiates allocation proposals but remains decision-support (operators choose/act), not closed-loop autonomous berth control.</t>
  </si>
  <si>
    <t>only used historical data, not deployed into operational context</t>
  </si>
  <si>
    <t>CAD</t>
  </si>
  <si>
    <t>aviation</t>
  </si>
  <si>
    <t>KG-augmented LLM; LLM enabled digital twin</t>
  </si>
  <si>
    <t>The paper integrates multiple components (dynamic KG, rule mining, rule-aware RAG, and digital-twin visualization/feedback) and evaluates them on curated aviation datasets and offline experiments, not in a live engineering workflow</t>
  </si>
  <si>
    <t>DR-RAG generates design suggestions and structured XML reports to support designers (e.g., for 3DEXPERIENCE visualization). It does not autonomously execute design changes or control manufacturing processes without human decision-making</t>
  </si>
  <si>
    <t>Multimodal LLM; LLM enabled KG</t>
  </si>
  <si>
    <t>The artefact (multimodal KG-construction pipeline) is implemented and validated on an automotive O&amp;M dataset with offline metrics, ablations, and simulated decision tasks—no evidence of live plant/service integration</t>
  </si>
  <si>
    <t>GenAI (Qwen2-VL) supports knowledge extraction and recommendation by enriching embeddings and improving KG completeness; maintenance actions remain human-decided, with the system generating suggestions rather than executing interventions</t>
  </si>
  <si>
    <t>LLM enabled KG; KG-augmented LLM</t>
  </si>
  <si>
    <t>The study integrates LLM-based extraction, multimodal hypergraph construction (Neo4j), and neural reasoning (CRCGAT+ConvE), validated via offline experiments on historical bridge-crane tickets, not in a live maintenance workflow</t>
  </si>
  <si>
    <t>The system generates diagnostic hypotheses, causal-chain backtracking, and solution recommendations, but inspection personnel confirm fault factors and execute repairs; GenAI does not autonomously trigger maintenance actions or control equipment</t>
  </si>
  <si>
    <t>LLM agents; KG-augmented LLM</t>
  </si>
  <si>
    <t>The system is integrated end-to-end (LLM agent + IKG retrieval + perception/navigation/manipulation toolchains) and validated via two case studies (pick-and-place, disassembly) in a lab-scale manufacturing unit, not an operational plant</t>
  </si>
  <si>
    <t>The agent interprets natural-language commands, generates and revises executable task plans, and can trigger tool/library calls, but execution is gated by operator validation and humans provide feedback/override, keeping humans on-the-loop</t>
  </si>
  <si>
    <t>The system is implemented end-to-end and tested in a controlled electronic-assembly lab cell (UR robot, cameras, EEG, ROS2), validating data flow and interactions; no evidence of deployment in an operational factory</t>
  </si>
  <si>
    <t>The LLM multi-agent system autonomously generates and replans human–robot task allocations and sequences (including dynamic reallocation under fatigue changes), while humans still supervise execution and can override decisions</t>
  </si>
  <si>
    <t>Multimodal LLM; LLM enabled KG; LLM agents</t>
  </si>
  <si>
    <t>The full pipeline (MMST+MMKG+R3 training + multi-agent retrieval) is implemented and evaluated on a collected wind-turbine assembly document set with offline benchmarks and expert scoring, not live shopfloor deployment</t>
  </si>
  <si>
    <t>The eDoChat system retrieves and generates multimodal answers for engineers/operators and allows expert edits/feedback; it supports documentation/decision-making but does not autonomously execute operational actions or control production processes</t>
  </si>
  <si>
    <t>he paper implements an end-to-end pipeline (LLM fine-tuning for text tasks + KG inference for judgment/completion) and validates it on curated assembly datasets with offline metrics and a sample Boeing-panel KG</t>
  </si>
  <si>
    <t>GenAI supports engineers by extracting/structuring assembly knowledge from documents (NER, quintuple construction, alignment) and improving KG completeness; it does not initiate or execute assembly actions or control operations</t>
  </si>
  <si>
    <t>E-commerce</t>
  </si>
  <si>
    <t>Resource-Based View</t>
  </si>
  <si>
    <t>Two-wave SME survey (n=377); constructs for GenAI capability, AI regulation, exploratory/exploitative SC innovation, green innovation performance; analyzed with PLS-SEM + IPMA + fsQCA + 10 executive interviews.</t>
  </si>
  <si>
    <t>The work evaluates MLLMs’ weld acceptability classification using curated datasets (including shopfloor-collected images) in an offline experimental pipeline with metrics; no integration into production QA systems or live trials</t>
  </si>
  <si>
    <t>The models provide accept/reject judgments and explanations to support skilled workers’ decisions. They do not automatically execute inspection dispositions, create tickets, or control welding/QA processes without human action</t>
  </si>
  <si>
    <t>Demand forecasting</t>
  </si>
  <si>
    <t>They implement a runnable LLM-driven forecasting workflow (API calls, code generation, execution, self-reflection) and validate performance against established benchmarks on simulated and real datasets, but without live enterprise integration or field deployment</t>
  </si>
  <si>
    <t>The LLM generates forecasts (and code) to support planners’ decisions. Even the “full automation” mode only automates analysis/forecast creation, not downstream execution of replenishment or scheduling actions in operations.</t>
  </si>
  <si>
    <t>The paper implements a full anomaly-detection prototype and validates core functionality with rigorous offline experiments on widely used benchmark datasets (e.g., SWaT/PSM/MSL), reporting metrics and ablations, but no operational integration</t>
  </si>
  <si>
    <t>TriP-LLM outputs anomaly scores/alerts to support monitoring and diagnosis decisions. It does not initiate corrective actions, change setpoints, or run closed-loop control; humans/other systems would act on detections.</t>
  </si>
  <si>
    <t>production logistics synchronization</t>
  </si>
  <si>
    <t>air-conditioning manufacturing</t>
  </si>
  <si>
    <t>The framework is evaluated in a real air-conditioning manufacturer with deployed IIoT devices and one-month operational data, demonstrating end-to-end logistics allocation/guidance/traceability performance and KPI gains, beyond lab-only datasets.</t>
  </si>
  <si>
    <t>ChatSync recommends resource allocations and operational suggestions via chat, and generates traceability reports. Humans (planners/handlers/coordinators) still execute actions and manage exceptions; GenAI initiates plans but remains supervised</t>
  </si>
  <si>
    <t>real deployments in factory</t>
  </si>
  <si>
    <t>The system is a runnable prototype validated via controlled offline experiments on multiple curated/real-world inspection datasets (MVTec-AD, VisA, WFDD, RIAD), reporting AUROC/AUPRO and ablations, but no plant deployment</t>
  </si>
  <si>
    <t>VMAD generates defect masks and explanatory text to support inspectors’ diagnosis and follow-up queries. It does not autonomously trigger quality dispositions, stop lines, or execute corrective actions without human decision authority</t>
  </si>
  <si>
    <t>analytical modeling</t>
  </si>
  <si>
    <t>retail</t>
  </si>
  <si>
    <t>Supply chain coordination; contract theory</t>
  </si>
  <si>
    <t>The system integrates multiple components (MARL agents, fine-tuned lightweight LLM guidance, Transformer information fusion, constraint masking) and validates them through benchmarks and a discrete-event simulation “fab case,” not a live fab pilot</t>
  </si>
  <si>
    <t>The scheduler autonomously generates batch-formation and assignment decisions continuously (LLM-guided MARL policies). However, the paper frames a path to MES/APS integration with human-in-the-loop approvals/exception handling rather than fully closed-loop control</t>
  </si>
  <si>
    <t>the tool should be seen as a function, not integrated into any other systems</t>
  </si>
  <si>
    <t>a scheduler should be seen as a function, not integrated into any other systems</t>
  </si>
  <si>
    <t>GenAI generates simulation models and analysis outputs to support planners’ decisions (bottlenecks, utilization, schedules). It does not autonomously execute production plans in real operations or control systems—humans act on results</t>
  </si>
  <si>
    <t>A runnable end-to-end prototype integrates UI + LLM extraction + schema validation + Tecnomatix simulation execution, then benchmarks response times and usability with non-experts. Evidence remains controlled/offline, not a plant pilot.</t>
  </si>
  <si>
    <t>Engineering drawing interpretation</t>
  </si>
  <si>
    <t>The paper implements an end-to-end PMI extraction system integrating detection, normalization, OCR parsing, and MLLM-based frame extraction, then validates performance on held-out drawings (e.g., 400 test drawings), without field deployment.</t>
  </si>
  <si>
    <t>The MLLM supports engineers by extracting/standardizing general PMI (materials, tolerances, treatments) and the system outputs structured PMI for downstream planning/quality checks; it does not execute machining or autonomously control operations</t>
  </si>
  <si>
    <t>The paper builds an end-to-end pipeline (data collection → GPT-4 NER/RE → entity disambiguation → KG/Neo4j) and validates it with controlled offline experiments and an EV case study, not live partner integration</t>
  </si>
  <si>
    <t>The LLM automates information extraction and KG construction to support analysts’ mapping, visibility, and risk-planning decisions. It does not initiate supply-chain actions (ordering/routing) or operate closed-loop without human execution.</t>
  </si>
  <si>
    <t>LLM agents; Multimodal LLM</t>
  </si>
  <si>
    <t>An integrated pipeline (vision-language LLM → structured semantics → spatiotemporal hypergraph → Hawkes ST-GNN → robotic decision outputs) is implemented and validated in a controlled reducer-assembly lab setup (Kinect + UR3)</t>
  </si>
  <si>
    <t>The system predicts task evolution and generates proactive robotic decisions (e.g., pick tools, assist fastening) based on inferred non-pairwise relations, but is evaluated in supervised HRC scenarios with safety/exception handling rather than closed-loop autonomy</t>
  </si>
  <si>
    <t>The paper implements an end-to-end system (LLM extraction + Neo4j KG + graph RAG + UI) and validates performance via offline experiments/expert scoring on 198 steel accident reports, without operational deployment</t>
  </si>
  <si>
    <t>GRAG-ProSafe generates explanations, causal chains, and safety recommendations for managers/engineers, improving retrieval and reasoning trustworthiness. It does not autonomously enforce controls or execute safety actions; humans decide and act</t>
  </si>
  <si>
    <t>orchestration</t>
  </si>
  <si>
    <t>intra-logistics</t>
  </si>
  <si>
    <t>LLM agents; LLM enabled digital twin</t>
  </si>
  <si>
    <t>The orchestration framework is validated in a cyber-physical testbed combining integrated factory digital twins and real network/robot infrastructure, with DT-to-real-world twin transfer demonstrations for pipelines and KPI outcomes.</t>
  </si>
  <si>
    <t>The agent interprets intents, generates and executes orchestration pipelines, and improves action selection via a closed-loop RAG-memory + Bayesian bandit learning cycle, enabling “zero-touch” orchestration with minimal human intervention</t>
  </si>
  <si>
    <t>testbed is not real shopfloor</t>
  </si>
  <si>
    <t>Work instructions for operators</t>
  </si>
  <si>
    <t>The paper validates a working prototype for component extraction (NER) on a curated labeled dataset, benchmarking multiple transformer models with precision/recall/F1 and demonstrating a template-based code-generation pipeline conceptually, without operational integration</t>
  </si>
  <si>
    <t>The approach assists control designers by extracting components from natural-language specifications and drafting Structured Text via predefined templates; humans still review requirements, constraints, and final PLC logic rather than autonomous execution</t>
  </si>
  <si>
    <t>Critical minerals</t>
  </si>
  <si>
    <t>Information asymmetry; supply chain resilience</t>
  </si>
  <si>
    <t>decision support</t>
  </si>
  <si>
    <t>AI governance / calibration</t>
  </si>
  <si>
    <t>panel econometric study</t>
  </si>
  <si>
    <t>Production planning</t>
  </si>
  <si>
    <t>Task–Technology Fit (TTF); Cognitive Load Theory</t>
  </si>
  <si>
    <t>Survey of 254 Chinese supply-chain practitioners; constructs for GenAI utilisation, cognitive load, AI literacy, risk perception; CFA + mediation and moderated-mediation regressions with bootstrap tests</t>
  </si>
  <si>
    <t>Supply chain resilience; dynamic capabilities view</t>
  </si>
  <si>
    <t>TOE framework</t>
  </si>
  <si>
    <t>Survey of 297 Taiwan manufacturing managers (Sept–Dec 2024); 7-point Likert constructs for TOE, GAIC, organisational creativity, green innovation ambidexterity, and green competitive advantage; analysed with SmartPLS (PLS-SEM), reliability/validity tests, mediation paths</t>
  </si>
  <si>
    <t>Task–Technology Fit (TTF) + Stimulus–Organism–Response (SOR)</t>
  </si>
  <si>
    <t>The artefact is evaluated offline using an external dataset (Marklines) split into 27 country partitions, reporting classification metrics and benchmark comparisons—no integration with live systems or operational pilot deployment</t>
  </si>
  <si>
    <t>Concept – Proof-of-concept simulation</t>
  </si>
  <si>
    <t>GenAI is used as an embedding/representation component to improve relationship prediction for visibility and analyst decision-making. It does not initiate supply-chain actions; outputs inform humans and downstream analytics.</t>
  </si>
  <si>
    <t>They built a KG, and evaluated offline using an external dataset</t>
  </si>
  <si>
    <t>The paper implements a runnable defect-detection prototype and validates its core accuracy through controlled offline experiments on a curated bearing dataset (tables of losses/accuracy; peak 85.32%), without plant-wide integration or live monitoring</t>
  </si>
  <si>
    <t>The system detects/classifies defects and can “summarize and record” findings for quality management, but it does not autonomously change process setpoints, dispatch maintenance, or execute corrective actions without human</t>
  </si>
  <si>
    <t>LLM agents + KG-augmented RAG</t>
  </si>
  <si>
    <t>Order tracking</t>
  </si>
  <si>
    <t>They implement an executable multi-agent + tool-using prototype (WEBCS-AGENT), including fine-tuned Qwen-7B and external tools/APIs, and evaluate it experimentally against baselines (TCR/TSR), but not in a real operational deployment.</t>
  </si>
  <si>
    <t>The system is explicitly designed for autonomous execution of most tasks (autonomous mode) with escalation to human experts via supervisors (parallel/emergency modes). Humans are “on the loop” for exceptions and governance</t>
  </si>
  <si>
    <t>The system integrates ChatGPT agents, CAD-derived assembly context, code generation, and a simulation execution/debug loop. Demonstrations and experiments occur in a simulated “digital twin” workcell rather than an operational factory deployment</t>
  </si>
  <si>
    <t>The workflow autonomously plans (decomposes tasks), generates and debugs executable robot programs, and iterates using simulation errors. Humans still set goals, provide examples/guardrails, and supervise correctness and safety</t>
  </si>
  <si>
    <t>Stakeholder theory + dynamic capabilities</t>
  </si>
  <si>
    <t>7-stage UNISONE workflow (Fig.1 p.8) combines multimodal data fusion, scenario simulation (Scenarios A–D), stakeholder-weighted MCDA, explainability (SHAP), and a pilot ERP dashboard + feedback loop for learning.</t>
  </si>
  <si>
    <t>Systematic literature search (WoS/Scopus) + synthesis of industry practices; conceptual framework linking IoB+GAI interactions to SC prediction/optimization/personalization and performance outcomes</t>
  </si>
  <si>
    <t>Systematic review (43)</t>
  </si>
  <si>
    <t>LLM + XR</t>
  </si>
  <si>
    <t>Multimodal fusion noise/alignment; reliability/hallucination; usability/trust; 3D asset generation; edge-cloud latency; model compression; safety/ethics</t>
  </si>
  <si>
    <t>manufacturing</t>
  </si>
  <si>
    <t>First holistic systematic mapping of LLM+MR (LLM2R) for Industry 5.0 industrial scenarios and enabling technologies</t>
  </si>
  <si>
    <t>assembly, maintenance, training, HRC</t>
  </si>
  <si>
    <t>Reviews 43 studies on LLM+MR in industry: assembly, maintenance, training, HRC; surveys architectures, interaction, knowledge, ergonomics</t>
  </si>
  <si>
    <t>LLM with XR</t>
  </si>
  <si>
    <t>limited tech: LLM with XR
limited domain: assembly, maintenance, training, HRC</t>
  </si>
  <si>
    <t>Systematic review (67)</t>
  </si>
  <si>
    <t>Planning &amp; Scheduling; Maintenance; Process control; Quality; Logistics</t>
  </si>
  <si>
    <t>Agentic AI</t>
  </si>
  <si>
    <t>Limited autonomy; MAS scalability/coordination; LLM hallucination/safety; edge deployability; missing standards/interoperability; security/privacy; human–agent collaboration</t>
  </si>
  <si>
    <t>Unifies agent evolution with cloud–edge–device mapping; defines four agent types and links them to tasks/layers</t>
  </si>
  <si>
    <t>Reviews evolution from traditional agents to Agentic AI; proposes cloud–edge–device framework; synthesizes applications, challenges, and directions</t>
  </si>
  <si>
    <t>Agents</t>
  </si>
  <si>
    <t>Systematic review (181)</t>
  </si>
  <si>
    <t>Sampling-rate imbalance; fusion drift; dimensionality curse; edge constraints; security/privacy; interpretability; open-set generalization; dynamic alignment.</t>
  </si>
  <si>
    <t>Links MMDL techniques to four-layer ASMS architecture; positions MMDL as core enabler of agentic smart manufacturing</t>
  </si>
  <si>
    <t>focuses on MMDL, less depth on specific GenAI implementations</t>
  </si>
  <si>
    <t>Reviews MMDL for agentic smart manufacturing: representation, alignment, fusion, optimization, and applications across equipment-to-supply-chain ASMS layers.</t>
  </si>
  <si>
    <t>multi-modal deep learning / generative models (e.g., VAE, GAN, diffusion)</t>
  </si>
  <si>
    <t>data augmentation / synthetic data in multimodal learning</t>
  </si>
  <si>
    <t>generative models (e.g., VAE, GAN, diffusion)</t>
  </si>
  <si>
    <t>Systematic review (32)</t>
  </si>
  <si>
    <t>Design; Process control; Maintenance; Planning &amp; Scheduling; Logistics; Quality; Sustainability</t>
  </si>
  <si>
    <t>Validation requirements; computational cost; ethics/privacy; integration complexity; dataset limits/quality; regulatory uncertainty; hallucinations; human oversight; governance frameworks</t>
  </si>
  <si>
    <t>PRISMA-based cross-sector synthesis linking domains, benefits, challenges, and evaluation methods; proposes an integrative conceptual framework</t>
  </si>
  <si>
    <t>industrial sector</t>
  </si>
  <si>
    <t>2018–2025 window; Limited databases/search terms; large retrieval gap (105 unavailable)</t>
  </si>
  <si>
    <t>Reviews GenAI industrial uses across design/manufacturing: control, digital twins, additive manufacturing, defect detection, optimisation; maps benefits, challenges, methods</t>
  </si>
  <si>
    <t>technical note</t>
  </si>
  <si>
    <t>Techniques/application</t>
  </si>
  <si>
    <t>Planning &amp; Scheduling; Maintenance; Process control; Quality; Logistics; Workforce support; Human-robot collaboration</t>
  </si>
  <si>
    <t>Cross-format document parsing; multimodal knowledge extraction/alignment; interpretability; workforce resistance; accountability/ROI; scalable, industrially viable agent frameworks</t>
  </si>
  <si>
    <t>Clarifies “AI agents” vs “Agentic AI”, proposes integrative perspective and evolution path, tailored to manufacturing contexts</t>
  </si>
  <si>
    <t>limited search-method transparency and empirical evidence</t>
  </si>
  <si>
    <t>Reviews AI-agent evolution; contrasts LLM-agents, MLLM-agents, Agentic AI; maps manufacturing applications and key adoption bottlenecks</t>
  </si>
  <si>
    <t>narrative review</t>
  </si>
  <si>
    <t>High compute/energy; data security/privacy; legacy integration; bias/transparency; reliable validation; governance; workforce reskilling; trustworthy deployment</t>
  </si>
  <si>
    <t>Combines broad GenAI-in-manufacturing overview with three concrete case studies illustrating implementation impacts and tradeoffs</t>
  </si>
  <si>
    <t>No explicit systematic search protocol or inclusion counts; evidence synthesis may be selective; case studies limit generalizability</t>
  </si>
  <si>
    <t>Reviews GenAI manufacturing uses (design, QC, maintenance, supply chains), highlights synthetic data and presents three illustrative industrial cases</t>
  </si>
  <si>
    <t>design, QC, maintenance, supply chains</t>
  </si>
  <si>
    <t>narrative review (197)</t>
  </si>
  <si>
    <t>Design; Planning &amp; Scheduling; Process control; Maintenance; Quality; Logistics</t>
  </si>
  <si>
    <t>Hallucination; limited industrial data; heterogeneous data fusion; lightweight edge deployment; legacy integration; privacy/bias; explainability; human–tech balance; energy</t>
  </si>
  <si>
    <t>Positions LLM as key Industry 5.0 enabler; systematically links LLM techniques, enablers, and manufacturing-stage applications</t>
  </si>
  <si>
    <t>Reviews 197 papers on LLMs for Industry 5.0 manufacturing; covers techniques, enabler synergies, applications, challenges, and prospects</t>
  </si>
  <si>
    <t>Broad survey; limited methodological transparency</t>
  </si>
  <si>
    <t>diffusion models</t>
  </si>
  <si>
    <t>generative design, smart control, and fault diagnosis</t>
  </si>
  <si>
    <t>Systematic review</t>
  </si>
  <si>
    <t>Model efficiency/latency; compute/memory; data scarcity/imbalance; interpretability; physics-informed constraints; legacy integration; standardized metrics; MLOps</t>
  </si>
  <si>
    <t>First holistic diffusion-model review across smart manufacturing lifecycle: generative design, smart control, fault diagnosis, Industry 5.0 values</t>
  </si>
  <si>
    <t>2015–May 2025; No explicit inclusion count; mixes academic and non-peer sources</t>
  </si>
  <si>
    <t>Reviews diffusion models for smart design/manufacturing: generative design, scheduling/control, fault diagnosis; outlines efficiency, data, interpretability, integration challenges</t>
  </si>
  <si>
    <t>design/manufacturing</t>
  </si>
  <si>
    <t>Broad “all-aspects” HRC-in-manufacturing review for Industry 5.0, integrating ontologies, AI/ML, XR, DT, metrics</t>
  </si>
  <si>
    <t>Synthesizes HRC in manufacturing toward Industry 5.0: interaction levels, enabling tech (AI/ML, XR, DT, LLMs), metrics, challenges</t>
  </si>
  <si>
    <t xml:space="preserve"> computer vision</t>
  </si>
  <si>
    <t>Proposes cognition-augmented assembly concept mapped to brain lobes; organizes vision methods by spatiality/memory/knowledge/decision-making</t>
  </si>
  <si>
    <t>Reviews visual computation for cognition-augmented human-centric assembly; categorizes methods and applications; discusses limits and trends: metaverse, cloud, LLM, BCI</t>
  </si>
  <si>
    <t>Systematic review (96)</t>
  </si>
  <si>
    <t>Porter’s value chain</t>
  </si>
  <si>
    <t>Regulatory uncertainty; data governance/confidentiality; hallucinations/robustness; legacy integration; scalability; skills/readiness; expand to logistics/procurement</t>
  </si>
  <si>
    <t>little on manufacturing/supply chain</t>
  </si>
  <si>
    <t>Systematically maps industrial LLM use cases onto Porter’s value chain to reveal concentration and gaps</t>
  </si>
  <si>
    <t>Reviews 96 industrial LLM studies; classifies by Porter value chain; finds focus on operations/tech development, gaps in logistics/procurement</t>
  </si>
  <si>
    <t>operations/tech development</t>
  </si>
  <si>
    <t>Systematic review (109)</t>
  </si>
  <si>
    <t>Longitudinal 2007–2025 SCM AI/ML mapping; clusters 109 studies into five themes and proposes future research by cluster</t>
  </si>
  <si>
    <t>Reviews 109 SCM AI/ML papers; bibliometrics + clustering; synthesizes techniques and applications (forecasting, inventory, risk, logistics) and future agenda.</t>
  </si>
  <si>
    <t>genral AI</t>
  </si>
  <si>
    <t>narrative review (233)</t>
  </si>
  <si>
    <t>Knowledge graph (LLM enabled knowledge graph)</t>
  </si>
  <si>
    <t>First comprehensive KG-based CAPP review since 2012; covers PKG lifecycle and adds PKG–LLM integration section. Not much on GenAI</t>
  </si>
  <si>
    <t>scgSPN reinforces casual links;CQkg+Ptuned chatglm CausalKgpt beat base+near gpt4 on aerospace qual Q&amp;A</t>
  </si>
  <si>
    <t>more expert;relaible answers;seclevel responce;enhanced casual robustness for defect diag</t>
  </si>
  <si>
    <t>highqual CQkg;expert curatd documents</t>
  </si>
  <si>
    <t>confidental data limits benchmrks;single confounder;need fine grain data;retrianing for reliabilty/safe</t>
  </si>
  <si>
    <t>scgSPN network modle extracts casual relations from qual docs to build CQkg casual kg;producing CausalKgpt for defect diag</t>
  </si>
  <si>
    <t>mfgtuned llm improve judgment acc~4.1%+gen vaild domian code w/closed loop refinement</t>
  </si>
  <si>
    <t>better domian answers;more relaible code;eff gains;broader aplicability to mfg tasks</t>
  </si>
  <si>
    <t>uncertainity;reliabilty;effectiveness;lack domian knowlege</t>
  </si>
  <si>
    <t>errorassisted fine tunning llm w/mfg data;based on openais gpt davinci modle in Python platform</t>
  </si>
  <si>
    <t>codex gen functionaly vaild inventory/queuing simulations from verbal descrips</t>
  </si>
  <si>
    <t>eff gains</t>
  </si>
  <si>
    <t>capability of genai;human expert vaild</t>
  </si>
  <si>
    <t>initial investment;continous updates w/data;scale up;contextulisation of ai</t>
  </si>
  <si>
    <t>using gpt3 codex davincicodex engine to gen simulaiton modles for inventory+queuing sys</t>
  </si>
  <si>
    <t>llm enabled chatbot rag+CoT prompt engineering based on gpt3.5+gpt4 yields excutable HRC schedules</t>
  </si>
  <si>
    <t>faster config;improved collabration/eff</t>
  </si>
  <si>
    <t>rag+CoT prompt engineering based on gpt3.5+gpt4 for 2 assembly tasks in automotive &amp; machinery</t>
  </si>
  <si>
    <t>embed llm into Automated Guided Vehicle AGV to comprehend NL commands+gen Python code to;AGV accurately follows complex instructions of toolfetching in humancentric mfg</t>
  </si>
  <si>
    <t>gpt3.5turbo modle from openai employed to convert dialogue+instructions into excutable Python code for impl</t>
  </si>
  <si>
    <t>genai agents semanticize logs;retrieve cases,+deliberate to recommend causes/prognoses;beat base llms in bridgecrane evaluation</t>
  </si>
  <si>
    <t>in dt;llm Vicuna13B acts as explainable reasoning engine;recalls similar faults;debates alternatives,+recommends/justifies likely cause+next steps</t>
  </si>
  <si>
    <t>llmbased zeroshot robotic task plan generation;Its feasibility demonstrated in several HRC unstructured mfg tasks</t>
  </si>
  <si>
    <t>llms for adaptive task planing+Python robot code generation</t>
  </si>
  <si>
    <t>gpt3.5 for robotic task plan generation+codex robot code generation</t>
  </si>
  <si>
    <t>kg+chatgpt beat gpt4 on complex sourcing</t>
  </si>
  <si>
    <t>more relaible;interpretable QA;efficent manufacturer discovery;supports diversification/resilience</t>
  </si>
  <si>
    <t>noisy/outdated websites;crossdomian integr;improve llm understanding of kgs</t>
  </si>
  <si>
    <t>constructs 13240entity mfg Service kg from websites+Wikidata;Neo4j+LangChain translate NL→Cypher;Node2Vec/GraphSAGE embeddings;chatgpt+kg QA surpasses gpt4 on complex sourcing queries in experiments</t>
  </si>
  <si>
    <t>llm gpt4 robotic planing, 93.3% success</t>
  </si>
  <si>
    <t>llm task planner gpt4/3.5;llama2 generating excutable robot code</t>
  </si>
  <si>
    <t>propose GIPP:Processgpt+dt verfication;finetunes gpt3 on 2458 Q&amp;A;milling prototype show flexibel;veriifiable planing vs CAPP</t>
  </si>
  <si>
    <t>greater adaptability;userfriendliness;reliabilty;explainability</t>
  </si>
  <si>
    <t>narrow milling dataset;unimodal gpt3</t>
  </si>
  <si>
    <t>fine tunw gpt3 davinci002 Processgpt;it then answers proc questions+drafts proc plans steps;tools;parameters in structured proc card format&gt; Hands plans to dt&gt;dt results loop back to llm for</t>
  </si>
  <si>
    <t>experimental voice llm assistant for assembly show high answer acc 93%;lower cognitive load+defects 3% hallucinations;strong usability</t>
  </si>
  <si>
    <t>reduced cognitive load;improved qual;high usability</t>
  </si>
  <si>
    <t>gpt4Turbo rag chatbot w/voice i/o</t>
  </si>
  <si>
    <t>gpt3.5 processes suport dialogues to extract VoC;mapping to needs/requirements;show nuanced</t>
  </si>
  <si>
    <t>realtime customer insight;improved product/proc decisions;satisfaction;reduced churn</t>
  </si>
  <si>
    <t>slang/evolving language;historical bias;trend detection limits;ethics</t>
  </si>
  <si>
    <t>prompt gpt3.5Turbo to map comments→needs→requirements</t>
  </si>
  <si>
    <t>ontologytuned gpt3.5 beats base gpt3.5/GP4 on component ID+action recs</t>
  </si>
  <si>
    <t>more accurate;consistent maint triage</t>
  </si>
  <si>
    <t>highqual ontology;curated logs</t>
  </si>
  <si>
    <t>fine tunning API limits;overfitting beyond 1 epoch;dataset repetition;generalizability</t>
  </si>
  <si>
    <t>encode aircraft ontology in logs;finetune gpt3.5;test on 500 logs;IoU/BERTScore/BLEU metrics</t>
  </si>
  <si>
    <t>fine tunw chatgpt3.5+clipbased vlm enable defect descrip+QA in smelting proc management</t>
  </si>
  <si>
    <t>lower management costs;higher eff;better proc comprehension;collaborative ops</t>
  </si>
  <si>
    <t>modle fine tunning</t>
  </si>
  <si>
    <t>integr gaps;data qual;need real deployments;reliance on chatgpt3.5 API</t>
  </si>
  <si>
    <t>chatgpt3.5 llm integrated w/fine tunw Transformer on domianspecific dataset+clipbased vlm</t>
  </si>
  <si>
    <t>creates ProcessCarbonAgent:data/intention/CoT agents w/gpt4 controller;improve RCA acc/credibility+speeds carbonmanagement decisions</t>
  </si>
  <si>
    <t>technical suport for achieving lowcarbon transformation+intelligence in industrial prod processes</t>
  </si>
  <si>
    <t>agent fw:combines data;intention+CoT agents w/gpt4 controller</t>
  </si>
  <si>
    <t>trainingfree ALFA use llmguided prompts+fine grain alignment to detect more defects+pinpoint them</t>
  </si>
  <si>
    <t>cuts manual prompt engineering;improve zeroshot inspection acc;better pixellevel localization</t>
  </si>
  <si>
    <t>alfa trainingfree;zeroshot visual anomaly detector combining gpt3.5generated prompts;CLIP visionlanguage features,+fine grain alignment module to score/pixellocalize defects on industrial images w/improved</t>
  </si>
  <si>
    <t>aas asset administration shell+llm automates semantic referencing;cuts manual effort,+improve data interoperability</t>
  </si>
  <si>
    <t>use of llmbased semantic search function to query information+data within AAS instance for qual</t>
  </si>
  <si>
    <t>data heterogeneity;fine tunning resorces demands;domian prompts required;singledomian vaild</t>
  </si>
  <si>
    <t>an llmbased semantic search maps each AAS Submodel Template SMT property name+descrip to correct;An llmChat interface gpt41106preview w/Azure lets users ask NL questions over AAS instances hosted on</t>
  </si>
  <si>
    <t>blcoT llm+GVFL small modles boost diagnostic acc/comprehension+communication eff across five datasets</t>
  </si>
  <si>
    <t>higher acc;better fault understanding;quicker maint advice</t>
  </si>
  <si>
    <t>llm domian gaps;heterogeneous features;tuning+privacy</t>
  </si>
  <si>
    <t>propose modle factory coupling BLCoTguided llm w/hypernetworkgenerated small modles under vertical federated learning;improving IIoT fault diag acc+maint guidance across five datasets</t>
  </si>
  <si>
    <t>generative augmentation improve minorityclass recall</t>
  </si>
  <si>
    <t>highmagnification imaging;classbalanced datasets</t>
  </si>
  <si>
    <t>hip scarcity</t>
  </si>
  <si>
    <t>getimg.ai gen synthetic HIP images from existing ones to enhance dataset+address HIP image imbalance</t>
  </si>
  <si>
    <t>chatgpt provides feasible plans for Repair/recycle substandard molded lenses</t>
  </si>
  <si>
    <t>faster option generation</t>
  </si>
  <si>
    <t>not always optimal;need vaild;impl complexity for some plans;domian expertise needed</t>
  </si>
  <si>
    <t>use chatgpt to propose+experimentally validate lens recycling plans</t>
  </si>
  <si>
    <t>llms gpt4o;Llama3 for schema;fine tunw roberta;GCNs w/logical constaints</t>
  </si>
  <si>
    <t>llms first draft disruption schemas;event+actor templates w/slots;reviewed by experts;Then they propose schema matches for each news paragraph</t>
  </si>
  <si>
    <t>the llm reads your instruction+scene;then writes robots stepbystep commands;assemblyfocused prompt lets it handle new tasks;not just preset routines</t>
  </si>
  <si>
    <t>llm planing adds generalization to unseen tasks+NL programmability</t>
  </si>
  <si>
    <t>responce speed</t>
  </si>
  <si>
    <t>gpt3.5turbo+gpt40613 w/API for task reasoning w/HRC prompts</t>
  </si>
  <si>
    <t>conceptual design:vlms can compare sketches;write helpful descrips,+suggest selection criteria;best when given text context;syslevel &amp; detailed design:they read basic drawings+draft or review simple CAD code</t>
  </si>
  <si>
    <t>conceptual design:Speeds early idea screening;reduce repetitive sketch comparisons,+autowrites useful descrips;syslevel &amp; detailed design:Helps read drawings+draft simple CAD;accelerating feedback loops+crossdiscipline communication w/human oversight</t>
  </si>
  <si>
    <t>conceptual design:Sensitive to sketch qual+missing text context;may misread hand drawings or embedded text;similarity judgments vary w/prompts;can invent criteria or overlook key ones</t>
  </si>
  <si>
    <t>gpt4v;LLaVA1.6 34B</t>
  </si>
  <si>
    <t>the propose llmagent architecture;its genai contribution modular;agentic planing/execution fw w/memory;error handling,+reflection</t>
  </si>
  <si>
    <t>genai reduce programming effort+improve planing acc+autonomy in multistep mfg tasks compared w/</t>
  </si>
  <si>
    <t>deploying genai need welldefined robot/APIs+scene modles URDF;incontext memory;error/exception handling+reflection modules;interpolation libraries,+human review to approve excutable plans</t>
  </si>
  <si>
    <t>firms face spatial reasoning limits for 3D toolpaths;Gcode complexity;planing latency,+need for visual grounding+realtime feedback loops</t>
  </si>
  <si>
    <t>compared gpt3.5;gpt4,+LLaMa2 family modles</t>
  </si>
  <si>
    <t>the rag sys;combining gpt3.5 w/ceramicdefect corpus external manuals &amp; academic papers;achieves 92.7 % Jaccard+0.61 ROUGEL;far outperforming gpt4 w/o domian grounding</t>
  </si>
  <si>
    <t>genai delivers faster;more relaible answers for qual troubleshooting;cutting manual search time+reducing scrap</t>
  </si>
  <si>
    <t>successful deployment relies on wellcurated domian corpus;vector database indexing;LangChain rag pipeline;lowcost API access,+expert review of retrieval rules</t>
  </si>
  <si>
    <t>effectiveness depends on corpus qual;externalserver latency+residual hallucinations need monitoring+periodic knowlegebase updates</t>
  </si>
  <si>
    <t>rag based on gpt3.5turboinstruct modle</t>
  </si>
  <si>
    <t>the creates integrated FDM taxonomy+show claude3opus+ICL achieves F1 0.915;evidencing genais superiority for lowresorces;proclevel NER</t>
  </si>
  <si>
    <t>genai sharply boosts entityextraction acc;enabling faster;richer capture of additivemfg knowlege for design;troubleshooting+training</t>
  </si>
  <si>
    <t>successful deployment depends on curated FDM corpus;integrated taxonomy;promptengineered ICL;limitd fine tunning data,+selecting advanced llms gpt4</t>
  </si>
  <si>
    <t>limitd labelled data;API cost/latency;domiancoverage gaps for nonFDM processes,+dependence on continual taxonomy updates hinder widespread industrial rollout</t>
  </si>
  <si>
    <t>use gpt4/claude3 to map text entities to structured FDM taxonomy</t>
  </si>
  <si>
    <t>the propose Dual data Mapping sys DDMS;It beat gpt4 in certain entity matching tasks+automates AAS instance creation</t>
  </si>
  <si>
    <t>genai enable seamless integr of heterogeneous mfg data;improve semantic consistency,+supports scalable dt generation for enhanced interoperability</t>
  </si>
  <si>
    <t>the deployment of genai enabled by domianspecific fine tunning of llms;structured vocabularies like ECLASS,+modular standardized information modles SMTs within AAS fw</t>
  </si>
  <si>
    <t>a major challenge semantic ambiguity in manufacturer data+lack of existing automated methods for intelligent</t>
  </si>
  <si>
    <t>fine tunw Llama2 llm for entity matching tasks</t>
  </si>
  <si>
    <t>the proposed FCllmdt scheme;combining digitaltwinbased anomaly repair;retrievalaugmented llm data generation,+federated continual learning;improve bearingfault diag acc+sensordata qual</t>
  </si>
  <si>
    <t>rag llm supplies highfidelity virtual sensor streams+augments scarce or faulty data;boosting diagnostic acc+enabling privacysafe collabration across distributed plants</t>
  </si>
  <si>
    <t>rag knowlege bases of historical data</t>
  </si>
  <si>
    <t>ragchatgpt produces timeseries data</t>
  </si>
  <si>
    <t>the llmassisted pipeline assInNNER+ANLM+CFM lifts nestedNER F1 by up to 8.25 %</t>
  </si>
  <si>
    <t>genai augments scarce maint texts+refines ontology;producing more accurate;actionable kg</t>
  </si>
  <si>
    <t>firms reluctance to share proprietary fault logs</t>
  </si>
  <si>
    <t>anlm w/industrial template;confidence filter;lorafine tunw bert backbone</t>
  </si>
  <si>
    <t>chatCNC translates NL queries into SQL;retrieves live IIoT data,+answers w/93.3 % acc;contextual+exemplar prompting markedly reduce hallucinations+retrieval failures</t>
  </si>
  <si>
    <t>llm helps op access realtime machine info w/o data engineers;improving humancentric smart mfg+decision speed</t>
  </si>
  <si>
    <t>op low digital literacy;llm hallucination;privacy limits on data sharing</t>
  </si>
  <si>
    <t>agents gen SQL;rag w/JSON;MTConnect stream;loragpt4 prompts</t>
  </si>
  <si>
    <t>gpt4 semantically extracting fault entities;relations+5Why chains from manuals+471 fault tickets;resulting in Enhanced casual Fault kg ECFkg w/95.7 % triple acc;combined w/llm agent for interactive diagnostic troubleshooting</t>
  </si>
  <si>
    <t>gpt4 helps building kg by semantically extracting fault entities;relations+5Why chains;llm agent building on rag+kg for interactive diagnostic troubleshooting&gt; cuts troubleshooting time</t>
  </si>
  <si>
    <t>semantically lossless prompt templates for extraction;humaninloop dialogue loop</t>
  </si>
  <si>
    <t>scarce/lossy fault data;limitd sensors in corrosive environments,+semantic ambiguity in op tickets</t>
  </si>
  <si>
    <t>gpt4 for knowlege semantic parsing+extraction</t>
  </si>
  <si>
    <t>gpt4 agent receives realtime task;machine+energy data from blockchainverified factories;interprets constaints;reasons through learned scheduling patterns,+outputs energyoptimal sequencing commands to multiagent shopfloors for distributed mfg</t>
  </si>
  <si>
    <t>enable adaptive;lowenergy distributed prod;boosting eff+circulareconomy perf in EV mfg</t>
  </si>
  <si>
    <t>trustworthy data access w/credit evaluationbased consensus mechanism</t>
  </si>
  <si>
    <t>untrusted factory data can mislead llm;largescale consensus may add latency</t>
  </si>
  <si>
    <t>promptdriven gpt4</t>
  </si>
  <si>
    <t>use genaibased bertTransformerCRF modle to extract energy knowlege+build kg;then use kg to finetune llm;then answer energyrelated questions kgbased rag</t>
  </si>
  <si>
    <t>kgaugmented llm provides highly accurate;lowhallucination energymanagement advice;helping shops cut power costs+meet sustainability pressures</t>
  </si>
  <si>
    <t>edgecloud architecture;realtime powermeter integr</t>
  </si>
  <si>
    <t>noisy shopfloor data;limitd labelled energy knowlege;hardware latency at factory edge</t>
  </si>
  <si>
    <t>bitic BERTITCRF for KF construction;gptbased llm+prefixtuning;BiLSTMCRF subgraphs</t>
  </si>
  <si>
    <t>the llmMANUF fw consisting of multiple loratuned llms+DWMOE ranking+adaptive fusion;beat any single fine tunw modle in intelligent decisionmaking in mfg</t>
  </si>
  <si>
    <t>improve acc+reliabilty of O&amp;M decision plans;reduce decision bias,+achieves nearstateofart perf w/lower compute+faster responce than very large</t>
  </si>
  <si>
    <t>domianspecific fine tunning corpus built from 23k semistructured O&amp;M records;parallel fine tunw llms</t>
  </si>
  <si>
    <t>semistructured data requiring preprocessing;compute/time tradeoffs</t>
  </si>
  <si>
    <t>multiple loratuned llms+DWMOE ranking+adaptive fusion</t>
  </si>
  <si>
    <t>a hybrid kgVector rag w/semantic alignment+prompt engineering outperformed vectoronly+kgonly baselines on;addressing precisionscalability tradeoffs</t>
  </si>
  <si>
    <t>the approach improve answer acc+contextual relevance for domiancentric mfg Q&amp;A+lowers barrier to</t>
  </si>
  <si>
    <t>kg from domian corpora;prompt enhancement w/humaninloop vaild</t>
  </si>
  <si>
    <t>general llms suffer domian gaps;outdated knowlege,+hallucinations</t>
  </si>
  <si>
    <t>hybrid kgrag for Design for additive mfg DfAM decision suport/domian Q&amp;A</t>
  </si>
  <si>
    <t>a gpt4 industrial bot online/offline helps op monitor prod;check overtime/pollution safe;discover faults;perform rootcause analysis,+gen synthetic data</t>
  </si>
  <si>
    <t>chatbot improve productivity;shortens downtime;enhance decision suport+training,+supports safer;humancentric ops by considering overtime limits+pollution thresholds</t>
  </si>
  <si>
    <t>customizing gpt4 w/factory CSV data w/LangChain;simple NL interface;clear I5.0 safe parameters overtime/pollution</t>
  </si>
  <si>
    <t>security tradeoff of online data exposure;offline versions limitd computation/context;SMEs lack practical prototypes+resorces</t>
  </si>
  <si>
    <t>upload CSV to chatgpt for factory troubleshootong;op well,+data augmentation Two industrial bot versions;The first offline version;created using Langchain agent connected to gpt4 LM through openai APIs+visualized w/Streamlit</t>
  </si>
  <si>
    <t>an llmenabled pipeline gpt4 preannotation → LERTCRF verifier → lorafine tunw MPKEgpt builds machining proc kg;cutting construction time 48.58%;cost 46.44%,+improving F1 by 1.96% versus deeplearning baselines</t>
  </si>
  <si>
    <t>faster;cheaper,+more accurate proc knowlege capture;resulting MPkg supports intelligent proc planing+kgbased Q&amp;A</t>
  </si>
  <si>
    <t>expert reannotation;curated datasets</t>
  </si>
  <si>
    <t>llm hallucination+limitd domian generalization;reliance on domian experts;token/annotation costs;need for highqual labeled corpora</t>
  </si>
  <si>
    <t>gpt4 preannotation;LERTCRF verifier;lora fine tunw MPKEgpt;SWRL fusion</t>
  </si>
  <si>
    <t>the threelayer multimodal llm agent for languagetoreward translation achieved 100% rewardcode success 20/20,+memoryenhanced hybrid;outperforming BC+PPO alone on HRCA tasks</t>
  </si>
  <si>
    <t>removes expertdependent reward engineering;accelerates robot skill learning from NL,+improve collaborativeassembly task success+policy convergence</t>
  </si>
  <si>
    <t>structured;example+rulerich prompts</t>
  </si>
  <si>
    <t>safe constaints must respected</t>
  </si>
  <si>
    <t>the MPkgembedded llm achieves 97.50% acc Pr 96.67%;Re 98.30%+higher inference/usability scores 9.1/9.4 than kg;llm,+kgllm baselines;kg guidance reduce hallucinations in machining fault diag</t>
  </si>
  <si>
    <t>integrating kg+llm improve fault localization;speeds troubleshooting,+provides usable advice for industrial machining scenarios versus conventional expert sys</t>
  </si>
  <si>
    <t>domian ontology+BTC NER to build MPkg;edgecloud data pipeline OPC UA;sensors;ERP/MES enabling real deployments</t>
  </si>
  <si>
    <t>residual knowlege boundary on unseen conditions;heavy preprocessing/feature reorganization needs;total processing latency data transfer noted;suggesting improved IoT architecture</t>
  </si>
  <si>
    <t>kg structure encoded into embeddings structural embeddings;entity/relation embeddings+fused into llms representation space during lora fine tunning</t>
  </si>
  <si>
    <t>the llmdt sys accesses/standardizes realtime legacy+smart machine data w/MTConnect;retrieves unstructured knowlege w/rag,+provides diagnoses+control;fine tunw supervisor improved classification,+experiments showed accurate Q&amp;A plus successful closed loop 3Dprinter corrections w/</t>
  </si>
  <si>
    <t>delivers contextaware guidance w/o manual lookups;accelerates troubleshooting;improve part qual,+supports humancentric interaction through dt avatar+NL interface</t>
  </si>
  <si>
    <t>mtconnect standardization of heterogeneous devices</t>
  </si>
  <si>
    <t>integrating legacy equipment at scale;maintaining realtime;contextaccurate responce;fine tunning cost/effort</t>
  </si>
  <si>
    <t>multiagent llm fw integrated w/IIoT/MTConnect dt;fine tunw gpt4omini supervisor using synthetic labeled dataset;hybrid rag for machine expertise</t>
  </si>
  <si>
    <t>the llm serves as indirect decisionmaker within rl;integrating llmenhanced rl into dt fw reduce toolaxis vector variation+decreases collision interference;validating approach for CNC sys</t>
  </si>
  <si>
    <t>improve toolpath stability+machining safe/qual by guiding rl toward lowvariation;collisionavoiding trajectories within dt</t>
  </si>
  <si>
    <t>heterogeneous CNC protocols risk data distortion;llm+RL industrial deployment nascent;training stability/compute constaints need careful normalization+parameterefficent tuning</t>
  </si>
  <si>
    <t>loRA parameterefficent fine tunning adapts it to machining prompts state → action candidates:At every step llm;surface normal/curvature;limits;recent path smoothness</t>
  </si>
  <si>
    <t>the llm assistant retrieves correct data+gen tailored visualizations from NL prompts;in 8/10 trials it produced correct SQL+results</t>
  </si>
  <si>
    <t>llmdriven data exploration reduce reliance on analysts;speeds anomaly investigation,+eases access to complex shopfloor data w/NL queries+flexibel visualizations</t>
  </si>
  <si>
    <t>structured ISA95derived schema;UNScompatible data ingestion</t>
  </si>
  <si>
    <t>acc/reliabilty gaps 2/10 prompts incorrect;domian customization/fine tunning needs;integr/scale+dataprotection concerns;improved error handling+knowlege grounding required</t>
  </si>
  <si>
    <t>modular agents orchestrated w/LangGraph:1;llm orchestrator:A gpt4omini agent built w/LangGraph/LangChain decides;2;The SQLAgent:turns naturla language prompt into schemaaware SQL joins</t>
  </si>
  <si>
    <t>genai made new;realistic toolwear images to pad tiny;imbalanced datasets;These synthetic pictures boosted inspectors acc from 80% to 96%</t>
  </si>
  <si>
    <t>genai mitigates scarce/imbalanced data;producing realistic toolwear images</t>
  </si>
  <si>
    <t>gan training cost;dependency on image qual</t>
  </si>
  <si>
    <t>2 architectures:GANs SCWGANGP &amp; diffusion modles FSD SCWGANGP fast;classaware image maker;FSD higherfidelity;classconditioned diffusion</t>
  </si>
  <si>
    <t>using ontologyguided;multimodal llm pipeline;OmEGa extracts task;location</t>
  </si>
  <si>
    <t>genai structures messy multimodal manuals into taskcentric kg+enable kgQA</t>
  </si>
  <si>
    <t>taskCentric Ontology TCO w/rules/constaints;humaninloop vaild</t>
  </si>
  <si>
    <t>structural:abbreviations;scattered multimodal content;Contextual:PLMdomian mismatch;scarce labeled docs</t>
  </si>
  <si>
    <t>loRA fine tunw llama performs instance recognition+relation classification on multimodal documents NER/RE</t>
  </si>
  <si>
    <t>multimodal vlm+llm planing delivers higher task success+faster completion;validating dynamic selforganization+selfcorrection in IoT settings</t>
  </si>
  <si>
    <t>genai enable contextaware planing+rapid replanning from multimodal cues;improving eff;safe,+scalability for logistics/inspection/rescue missions under uncertainity</t>
  </si>
  <si>
    <t>multimodal sensing RGB;InstanceSeg;LiDar;hybrid cloudedge deployment,+robust comms 5G/WiFi 6</t>
  </si>
  <si>
    <t>centralized modles can add latency</t>
  </si>
  <si>
    <t>multimodal llm/vlm agents for perception→planing;llmenabled task decomposition/role allocation;vlm scene understanding;kgfree ragstyle fusion of multimodal descriptors</t>
  </si>
  <si>
    <t>encoding AAS entities+adding CSLfine tunw llm reranker markedly improve retrieval+answers of rag</t>
  </si>
  <si>
    <t>the enhanced rag yields more correct+complete integr answers;reduce manual crossdocument effort,+supports interoperable Cdt development across tools/organizations</t>
  </si>
  <si>
    <t>reranking adds latency;need robust domian adaptation+safe deployment at scale</t>
  </si>
  <si>
    <t>advanced rag w/llm reranker CSLfine tunw mistral7B for robotic work cell integr into dt</t>
  </si>
  <si>
    <t>kgenhanced llm beat vanilla llms+rag baselines on fault diag &amp; maint Q&amp;A evaluation dataset;Subgraph correction+web search further improve robustness</t>
  </si>
  <si>
    <t>the kgguided llm reduce hallucinations;improve diagnostic reliabilty+completeness,+makes fault reasoning accessible w/NL;supporting humancentric maint in Industry 5.0</t>
  </si>
  <si>
    <t>perf depends on kg coverage/qual;multiple llm calls add server burden;remaining hallucination risk;proprietary modles raise privacy concerns</t>
  </si>
  <si>
    <t>compared gpt3.5;gpt4;chatglm3;Yi34B</t>
  </si>
  <si>
    <t>merging HRCSSG semantics+activity priors into prompts enable gpt4 to plan tasks;detect anomalies,+reason schedules;volunteerrated acc &gt;92% for AD/SR+73% for TP;sys tracks human/robot positions ≈18.5 mm/7.3 mm+sustains 16 vps semantic inference</t>
  </si>
  <si>
    <t>provides professional;comprehensible guidance to op;monitors safe/standardization,+supports robust multielement decisions for flexibel HRC in dynamic scenes</t>
  </si>
  <si>
    <t>simple lab scenes w/fixed entities;singlecamera limits+occlusions;variability across llm outputs</t>
  </si>
  <si>
    <t>gpt4 decision engine w/structured prompts grounded in scene semantic graph &amp; task priors</t>
  </si>
  <si>
    <t>the defines llm roles producer/provider/decisionmaker+methodselection flow;then show in proactive case;perf holds for ≤4 objectives</t>
  </si>
  <si>
    <t>llms lower expertise barriers;speed customization,+align designs w/shopspecific mfg constaints;enabling customers w/minimal GDfC knowlege to obtain vaild;manufacturable options w/clearer explanations</t>
  </si>
  <si>
    <t>data &amp; knowlege:designmfg kg encoding constaints;Tech patterns:fine tunning gpt3.5turbo0613 for style/terminology+rag for dynamic constaints;proc:front/backend orchestrating external generative tools+code prompts;Governance:constrain search to kg+limit objectives ≤4 to curb hallucination</t>
  </si>
  <si>
    <t>acc drops when many objectives requested;knowlege base scope limits coverage;resorces constaints+remaining hallucination risk demand expert oversight</t>
  </si>
  <si>
    <t>fine tunw gpt3.5;rag over designmfg kg;prompttocode orchestration backend interface</t>
  </si>
  <si>
    <t>fine tunning gpt3.5 markedly improve supplier triplet extraction over base modle in graph construction;Neo4j suppliercapability kg plus Graphrag yields higher precision/F1/acc than SummaryIndex+KnowledgeGraphIndex in Q&amp;A;built SCkg spans 1663 entities+6911 relationships</t>
  </si>
  <si>
    <t>sckgrag improve supplier visibility+findability;producing more precise;explainable answers+helping supply managers identify qualified SMMs faster w/fewer mismatches</t>
  </si>
  <si>
    <t>data &amp; knowlege:SUDOKN ontology+MCT thesaurus</t>
  </si>
  <si>
    <t>perf depends on supplier data qual;need more diverse data+adaptive/semisupervised extraction;SME labeling cost;generalization across domains remains open task</t>
  </si>
  <si>
    <t>fine tunw gpt3.5 extractor for graph construction;Graph rag</t>
  </si>
  <si>
    <t>propose CEIM to fuse multisource perception+ai modle outputs;show;w/giftbox line;how llms analyze logs</t>
  </si>
  <si>
    <t>llms improve semantic integr+coordination across IoMT;equipment,+resorces;enabling more flexibel planing;quicker anomaly responce,+humanstyle interactive management in customized mfg</t>
  </si>
  <si>
    <t>ei in CM faces multisensor fusion+semantic misalignment;data integr at scale;precise motion control;compute/training demands</t>
  </si>
  <si>
    <t>llmguided heuristics+DRL learns synergistic packingunpacking policies;space utilization rises w/higher stability;learning converges faster w/llm constaints;actioneff reward cuts unnecessary unpacking</t>
  </si>
  <si>
    <t>the llm guidance improve space use+stack stability;yielding robust;realtime robotic packing</t>
  </si>
  <si>
    <t>physicsbased endtoend rl sampleinefficient</t>
  </si>
  <si>
    <t>gpt4generated feasibility/strategy code fused w/action masks</t>
  </si>
  <si>
    <t>combining literature rag w/iterative llm refinement yields high extrapolative acc w/tiny datasets;rag stabilizes generalization+removes human literature interpretation</t>
  </si>
  <si>
    <t>genai reduce data needs+improve extrapolation for proc modles;enabling faster;less expertdependent parameterperf prediction across diverse mfg processes</t>
  </si>
  <si>
    <t>curate related papers</t>
  </si>
  <si>
    <t>perf depends on retrieved literature qual+presence of closedform equations;ragonly can inaccurate;w/orag refinement may unstable;broader automation of selection left for future work</t>
  </si>
  <si>
    <t>rag gpt4omini;iterative equation refinement;candidate reranking</t>
  </si>
  <si>
    <t>graph RCL attains ≥86.8% acc in complex multiroot scenarios;single/double/triplecause accuracies 97.09/89.26/86.84%;fine tunw RCLllm improve acc over base by~8794%+use 501400 fewer tokens per answer;aggregated fine tunning beat separate modles</t>
  </si>
  <si>
    <t>a fine tunw;kgaugmented llm reduce op learning costs;adds interactivity/explainability,+improve diagnostic reliabilty+speed for alarm floods versus manual or basellm analysis</t>
  </si>
  <si>
    <t>perf depends on APRA/NTA data qual;error accumulation across steps;acc declines as rootcause count/scene complexity rises;fine tunning/data prep effort</t>
  </si>
  <si>
    <t>kgaugmented llm for root cause analysis in optical networks;supervised lora fine tunning of llama38BInstruct using gpt4o teachergenerated CoT data</t>
  </si>
  <si>
    <t>a dtguided diffusion modle gen precise;diverse reconfiguration options w/&gt;80% acc in 9/10 targets+~10 MSE</t>
  </si>
  <si>
    <t>the Large mfg Decision modle accelerates humancentric reconfiguration;aligning options to perf targets in realtime+reducing risk w/dt vaild;it transforms massive simulaiton/sensor data into actionable decisions w/minimal initial datasets</t>
  </si>
  <si>
    <t>perf depends on dt fidelity+coverage;generalizability to larger scales/objectives need work;need greater interpretability+tighter integr of llm reasoning in future iterations</t>
  </si>
  <si>
    <t>uNet diffusion for decision matrices;llm interface for text→target parsing;dtguided selftraining</t>
  </si>
  <si>
    <t>zeroshot llm analogy+scoring+combination lifted creativity:expertrated novelty+51%;functionality+22%;analogy eff/diversity+≈30%;designers reported lower mental/physical demand</t>
  </si>
  <si>
    <t>interactive ViMimic tool using gpt4o zeroshot accelerates ideation;expands analogy diversity,+reduce cognitive load;helping designers move from analogies to viable concepts more systematically</t>
  </si>
  <si>
    <t>blackbox risks remain despite scoring;generalization beyond case scope needs work</t>
  </si>
  <si>
    <t>llmdriven pipeline w/Primitives Scheme Block → Analogy Mapping → Scoring semantic+shape distances → Combination</t>
  </si>
  <si>
    <t>llm multiagent sys for realtime rescheduling succeeds for machine failure+urgent orders</t>
  </si>
  <si>
    <t>a Multiagent scheduling chain fw improve scheduling eff+adaptability;enabling NL requests;quick algorithm selection,+nearrealtime rescheduling w/reduced manual intervention across dynamic shop conditions</t>
  </si>
  <si>
    <t>inference latency~20 s avg;hardwaredependent;perf varies by dataset/scene complexity;risk of knowlege forgetting w/o DialBag</t>
  </si>
  <si>
    <t>multiagent scheduling chain fw:InternLM27B Qlora;improved ReAct;DialBag</t>
  </si>
  <si>
    <t>scenegraphenhanced;prompttuned llm improve fault reasoning+maint recs across multifault scenarios+cuts maint time</t>
  </si>
  <si>
    <t>multiagent llm raises diagnostic acc/robustness+reduce downtime by delivering precise;explainable recs+ondevice ar guidance for technicians</t>
  </si>
  <si>
    <t>curated scene graph entities/relations/attributes fused w/shopfloor sys;data preprocessing 3σ+Isolation Forest;Bayesian multiimputation;synthetic multifault augmentation</t>
  </si>
  <si>
    <t>perf depends on scenegraph qual+sys integr;latency/compute+device limits ;HoloLens battery/heat;noisy environments must managed</t>
  </si>
  <si>
    <t>build fault &amp; maint scene graph fault IDs;phenomena;locations;causes</t>
  </si>
  <si>
    <t>customizing w/patentrag+personalizing w/designreasoning prompts improve concept feasibility+usefulness versus general llm;novelty may decrease after customization;w/partial recovery w/personalization;adapted modles stabilize qual compared to higher variance in general llm outputs</t>
  </si>
  <si>
    <t>ragcustomized llm designspecific+personalized prompting makes conceptual design more manufacturable+contextrelevant;reduce hallucinations/outdated knowlege w/justintime retrieval,+better suport designers in early concept work</t>
  </si>
  <si>
    <t>large patent corpus ingestion</t>
  </si>
  <si>
    <t>dependence on data qual/coverage</t>
  </si>
  <si>
    <t>ragcustomized llm designspecific+personalized prompting reasoningguided CoT/ToT;gpt4o baseline</t>
  </si>
  <si>
    <t>chatgpt achieved 84% firstattempt success in error detection no false negatives;16% false positives+84% firstattempt acc in descrips/corrections;op feedback prompts fixed remaining cases to 100%;warnings mitigated 11/12 critical steps</t>
  </si>
  <si>
    <t>multimodal llm assistant chatgpt v4.0;claude 3.5 enable realtime;nonintrusive guidance;reduce assembly errors</t>
  </si>
  <si>
    <t>python API integr;feedback learning storing op corrections to update prompts+modality priorities</t>
  </si>
  <si>
    <t>latency vs stateofart DL detectors;reliance on prompt design;labscale vaild;generic genai not yet optimised for industrial use</t>
  </si>
  <si>
    <t>no fine tunning</t>
  </si>
  <si>
    <t>the llmenhanced dtMultiAgent sys reduce tardiness;balances workloads,+lowers carbon emissions versus rules;metaheuristics,+plain rl</t>
  </si>
  <si>
    <t>llmenhanced dtMultiAgent sys improve scheduling eff+carbon mitigation;supports fast rescheduling under machine failures/urgent orders,+cuts execution time compared w/GA/GP+baseline</t>
  </si>
  <si>
    <t>llm fine tunning on domian corpus</t>
  </si>
  <si>
    <t>effectiveness depends on eventlog/DFG qual+domian KB coverage;integr/compute cost for llm fine tunning;generalization beyond case+weightsetting robustness need further</t>
  </si>
  <si>
    <t>dt;DFG mining;Vicuna13B fine tunning;PPO rl</t>
  </si>
  <si>
    <t>the llmPDAgents fw use kg+multiagent workflow to plan roles/steps;gen+refine personalised RAD designs,+;on kneeRAD case;improve procedure+design qual</t>
  </si>
  <si>
    <t>better personalisation+manufacturability w/fewer iterations;more transparent reasoning kgguided CoT,+lower design effort/cost compared w/adhoc manual methods</t>
  </si>
  <si>
    <t>real data 1000 kneeRAD entries from Amazon/Taobao/Soopat to ground kg</t>
  </si>
  <si>
    <t>domian data scarcity;reliance on kg qual;risk of agent loops human expert fallback after threshold,+generalisation beyond kneeRADs;limitd pretraining resorces in medicalrehab domian</t>
  </si>
  <si>
    <t>fbsbased kg;multiagent planing</t>
  </si>
  <si>
    <t>the fw turns text/images/voice into CAD code+;w/closed loop checks;refines modles to match user specs;imageonly inputs capture general form but miss precise dimensions</t>
  </si>
  <si>
    <t>lowers CAD barriers;speeds rapid prototyping,+links design→mfg STL/Gcode/printing in one workflow for nonexperts+engineers</t>
  </si>
  <si>
    <t>structured prompts JSON+library injection</t>
  </si>
  <si>
    <t>llms dont handle 3D natively;dimensional acc suffers w/o explicit specs;execution time/cost issues for alternative/commercial modles;complex geometries+robust scaling remain open</t>
  </si>
  <si>
    <t>gpt4o prompts;OpenSCAD;Streamlit UI</t>
  </si>
  <si>
    <t>blendergenerated datasets enable high QC acc;controlled synthesis offers determinism/consistency superior to texttoimage tools for defect data creation</t>
  </si>
  <si>
    <t>synthetic data cuts data collection cost/time;improve defect detection reliabilty,+supports waste reduction across mfg lifecycle Lean/sustainability</t>
  </si>
  <si>
    <t>learning curve for Blender/Python;render compute/time;realism/domianshift risks;photorealistic modeling effort,+pipeline integr in plants</t>
  </si>
  <si>
    <t>blender Python API</t>
  </si>
  <si>
    <t>a conversational llm interface achieves 80% execution acc on 55 MES requests;query rewriting+9.1%+multistep ops+18.2% over base;gpt4o Text2SQL baseline scores 60%;Thought/Tool steps critical</t>
  </si>
  <si>
    <t>a conversational llm interface reduce GUI development/maint+op learning costs</t>
  </si>
  <si>
    <t>need to balance acc;generality,+token usage;reliance on schema/tool definitions+entity coverage;risks from incorrect ops</t>
  </si>
  <si>
    <t>multistep planner</t>
  </si>
  <si>
    <t>the llm enabled knowlege Augmented Generalizer Specializer supports problem formulation;hierarchical decomposition,+solution generation;expert review found solutions relevant to practice but asked for clearer decision sequencing+prompt/ontology adjustments</t>
  </si>
  <si>
    <t>in earlystage design;genai enabled explainable;structured exploration;industryaligned prototypes</t>
  </si>
  <si>
    <t>humaninloop evaluation+feedback cycles</t>
  </si>
  <si>
    <t>limitd casual reasoning+context loss at lower abstraction</t>
  </si>
  <si>
    <t>laMA 3.1 8B;GoT;rag w/Chroma;multiagent scoring</t>
  </si>
  <si>
    <t>the rl→llm pipeline converts rl explorations into excutable OPC recipes</t>
  </si>
  <si>
    <t>genai reduce OPC engineering effort+accelerates recipe rollout:llmgenerated recipes apply immediately to new layouts</t>
  </si>
  <si>
    <t>structured data transform rl outputs → JSON+image clips</t>
  </si>
  <si>
    <t>llms face hallucination+contextwindow limits;mitigated w/structured inputs+decision trees</t>
  </si>
  <si>
    <t>multimodal llm gpt4o agents for feature mining/labeling;llmgenerated rule/recipe synthesis w/decisiontree retrieval;hybrid rl+llm sys</t>
  </si>
  <si>
    <t>enhancedCycleGAN produced synthetic defect images closest to real across all metrics;adding its images to training markedly improved detection</t>
  </si>
  <si>
    <t>synthetic data balances rare defect classes+boosts precision/recall/F1+acc across VGG16;ResNet50,+YOLO11 detectors</t>
  </si>
  <si>
    <t>access to abundant nondefective imagesSufficient experimental dataset 675 FFF samples</t>
  </si>
  <si>
    <t>data in developing contexts remains limitd;synthetic images can intro bias if distributions diverge;some abundant classes defectfree;nodie gain little from augmentation</t>
  </si>
  <si>
    <t>gan</t>
  </si>
  <si>
    <t>the fw gen both design+AM proc parameters</t>
  </si>
  <si>
    <t>reduce costly simulaiton/iteration by directly proposing viable parameter sets+screening them w/forward modle;aligning printed outcomes closely w/targets</t>
  </si>
  <si>
    <t>sufficient experimental dataset 675 FFF samples</t>
  </si>
  <si>
    <t>experimental data collection costly</t>
  </si>
  <si>
    <t>acgan inverse+forward modles</t>
  </si>
  <si>
    <t>from narrated videos;sys autobuilds task modles+allocates tasks considering safe;ergonomics,+parallelization</t>
  </si>
  <si>
    <t>reduction in manual planing;enhanced resorces utilization+improved humanrobot collaborative apps</t>
  </si>
  <si>
    <t>narrated shopfloor videos plus targeted prompts;standardized JSON schemas for tasks/actions;dt w/MoveIt! for safe simulaiton;humaninloop web UI for verfication+corrections</t>
  </si>
  <si>
    <t>outputs not guaranteedoptimal;perf depends on input qual video/voice/prompting;scalability to more complex settings+tighter constaints need integr w/classical solvers+better uncertainity/error</t>
  </si>
  <si>
    <t>multimodal llm gemini 1.5 Flash for video+audio understanding;llmbased task planing;llmgenerated lowlevel actions;dtintegrated execution</t>
  </si>
  <si>
    <t>an llmbased retrieveextractfuse fw builds large wastetoresorces kg from papers;evaluations show high extraction qual+broader coverage than prior databases</t>
  </si>
  <si>
    <t>broader opportunity identification</t>
  </si>
  <si>
    <t>modular pipeline;incontext prompts;entity fusion</t>
  </si>
  <si>
    <t>ambiguity;noisy text;verfication needs;matching errors</t>
  </si>
  <si>
    <t>llmbased chunk relevance filtering+eventargument extraction;HAC clustering+llmassisted canonicalization;Neo4j kg+UI prototype for opportunity queries</t>
  </si>
  <si>
    <t>an endtoend dynamic Mkg → TGNbased Mkgrag → aiagent pipeline supports relaible anomaly analysis in lab;tailored TGN improve temporal retrieval metrics</t>
  </si>
  <si>
    <t>faster;more relaible anomaly diag</t>
  </si>
  <si>
    <t>llm semantically maps RDB+docs into dynamic Mkg;gated TGN learns temporal embeddings for kgrag;agent orchestrates Neo4j query;anomaly detection</t>
  </si>
  <si>
    <t>llmempowered MAPPO llmMAPPO improve makespan versus dispatching rules;GP rules;DRL baselines,+MAPPO on 330 instances;ablation show llm module yields~7% gain+improve generalization</t>
  </si>
  <si>
    <t>shorter makespan;better adaptability</t>
  </si>
  <si>
    <t>needs unstructured data+prompting;real shop vaild limitd</t>
  </si>
  <si>
    <t>stageasagent MAMS w/IoT/cloud;DeepSeekR1 extracts urgency/health semantics into state;llm preference distribution regularizes MAPPO w/KL divergence;trained+tested on prototype platform datasets</t>
  </si>
  <si>
    <t>a threepart approach llmbased Mkg construction+llm+RGCN+refinement+Mkgtriplet rag Q&amp;A builds steel Mkg</t>
  </si>
  <si>
    <t>higherqual;faster knowlege retrieval</t>
  </si>
  <si>
    <t>hallucinations;long inference time;domian verfication needs;data heterogeneity</t>
  </si>
  <si>
    <t>multistage EA recognition+relation extraction w/thresholds;triplet normalization;Mkg fusion+latent link discovery using llm plus RGCN+relation prediction;Q&amp;A use SMkgtriplet rag</t>
  </si>
  <si>
    <t>a 3layer embodied fw vision perception → fine tunw llm proc decisions → APIbased code generation repairs;case show positioning error~2.43 mm+repairs meet coating standards</t>
  </si>
  <si>
    <t>autonomous repair;improved eff/qual</t>
  </si>
  <si>
    <t>limitd data;GPU/latency limits;generalization needs</t>
  </si>
  <si>
    <t>yolov8+monocular target mapping to infer defect geometry;Qlora finetunes LLaMA8B to output optimal grinding parameters;APIs gen ABB robot code+plan multidefect paths TSP+GA</t>
  </si>
  <si>
    <t>ar manual annotation supplies geometric+semantic known conditions to locally deployed reasoning llm;enabling relaible motion plans+code generation w/high success rates+zeroshot transfer in maint</t>
  </si>
  <si>
    <t>more relaible;lowcost motion planing</t>
  </si>
  <si>
    <t>op workload;safe vaild;dynamic obstacles;realtime constaints</t>
  </si>
  <si>
    <t>holoLens2+Unity ar manual annotation → JSON prompts;DeepSeekR1 Ollama gen base path+arm trajectory+C#/C++control code;dt preview+human edits;ROS robot executes</t>
  </si>
  <si>
    <t>an HCdt combining GNN ruleside learning w/llm semantic augmentation improve reasoning+adaptation to unscheduled;outperforming graphonly baselines+sys comparators</t>
  </si>
  <si>
    <t>faster adaptation;lower workload;higher safe</t>
  </si>
  <si>
    <t>hallucination risk;high compute/memory;multimodal grounding still limitd</t>
  </si>
  <si>
    <t>hcdt architecture w/Neo4j task/agent graphs;selfsupervised GNN embeddings;llm local gen node text attributes w/rag+critic arrag;crossmodal alignment w/mutualinformation objective</t>
  </si>
  <si>
    <t>rag+kg grounded in ISO/IEC clauses yields best safe reasoning;w/gpt4.1 it achieves top language metrics+safe metrics ;high hazard recall;zero safeviolation rate</t>
  </si>
  <si>
    <t>better standardscompliant safe recs</t>
  </si>
  <si>
    <t>hallucination risk;kg maint;retrievalclause mismatch;need expert vaild for deployment</t>
  </si>
  <si>
    <t>four configs TFIDF;fine tunw llm;rag;rag+kg</t>
  </si>
  <si>
    <t>a 3hub Mllm architecture active perception;decision w/rag;execution w/action library achieves high success in tooldelivery HRC engine assembly;handling occlusion w/multiturn hub negotiation</t>
  </si>
  <si>
    <t>higher autonomy+robustness in HRC</t>
  </si>
  <si>
    <t>visual ambiguity;fine manipulation limits;safe/realtime constaints;scalability beyond lab</t>
  </si>
  <si>
    <t>gpt4o Mllm+YOLO/Mediapipe visual enhancement;FaiSS vector DB over structured proc quintuples;LangGraph hub coordination;ROS+MoveIt/AMCL for navigation/manipulation</t>
  </si>
  <si>
    <t>toolManips modular multiagent vlm pipeline planing;affordance reasoning;primitive reasoning;execution monitoring achieves high success rates across 10 industrial tool tasks+beat MOKA/OmniManip</t>
  </si>
  <si>
    <t>higher success rate;better generalization</t>
  </si>
  <si>
    <t>occlusions;latency;residual localization/execution errors</t>
  </si>
  <si>
    <t>gpt4o vlm agents+LangSAM/SAM6D for ROI/pose;structured interaction fields for keypoints/directions;motion+force primitive library,+execution inspector for closed loop step correction on real 6DoF arm w/</t>
  </si>
  <si>
    <t>a fully offline;speechdriven llm assistant can gen inspectionpath code+drive cobot inspection workflow;experiments compare local llms/prompting+show robust perf in sim+real PoC</t>
  </si>
  <si>
    <t>better ergonomics;faster inspection setup</t>
  </si>
  <si>
    <t>speech noise errors;compute limits;integr effort</t>
  </si>
  <si>
    <t>speech→text Whisper+local coding llm Qwen2.5Coder gen APIcalling code;parser verifies code;ROS/MoveIt executes paths w/collision mesh;TTS feedback loop</t>
  </si>
  <si>
    <t>the CCMFCC agent semantic CoT cognitive core+functionalmodule activation+collabration beat autogpt/AgentVerse/ChatDev+llmonly;time,+robot execution acc</t>
  </si>
  <si>
    <t>higher robot execution acc;lower intervention</t>
  </si>
  <si>
    <t>scaling to unstructured tasks;multimodal heterogeneity;threshold recalibration needs</t>
  </si>
  <si>
    <t>gpt3.5turbo used as cognitive core to parse task semantics;gen CoT;predict task masks;activates modules perception/analysis/decision/resorces/interaction/memory+coordinates them</t>
  </si>
  <si>
    <t>a dualagent fw knowlegeenhanced llm Agent+Bayesian risksensitive rl Robot Agent improve safeaware path planing;lightweight llama8B w/domian manuals performs near junior engineers</t>
  </si>
  <si>
    <t>safer navigation;better task instruction qual</t>
  </si>
  <si>
    <t>oise/occlusion;constrained spaces;background noise;llm trustworthiness gaps</t>
  </si>
  <si>
    <t>llm Agent LangChain+factory manuals decomposes voice instruction into phased goals;Robot Agent use BNN uncertainity+risksensitive rl to plan paths on realfactoryderived grid;tested in Gazebo/TurtleBot3 stack</t>
  </si>
  <si>
    <t>malmclip automates prompt creation w/llm multiagent loop+improve fewshot anomaly detection AUROC over prior</t>
  </si>
  <si>
    <t>higher anomaly detection acc</t>
  </si>
  <si>
    <t>dynamic environments;multiagent coordination cost;prompt redundancy</t>
  </si>
  <si>
    <t>vvclip backbone+multiagent sys Image annotator;Descriptive member;Anomaly assessor generating normal/abnormal prompts;semanticconnection enhancement constructs NP/LAP/LLAP for contrastive prompt learning</t>
  </si>
  <si>
    <t>a selforganizing embodied multiagent sys w/llmdriven perceptionanalysisdecision improve disturbance responce speed versus DQN+standalone</t>
  </si>
  <si>
    <t>faster disturbance responce;better scheduling</t>
  </si>
  <si>
    <t>communication latency at scale;domian knowlege gaps;realtime constaints</t>
  </si>
  <si>
    <t>deepSeekbased industrial llm+Graphrag/Neo4j scenario graph+LangChain orchestration;embodied machine agents w/embedded controllers;multimodal sensing;llmsupported prediction+negotiationbased scheduling</t>
  </si>
  <si>
    <t>the proposed MECM+MarL sys w/llmsupported casual intervention+dualcross evaluation reduce operating costs~37%+</t>
  </si>
  <si>
    <t>lower cost;lower emissions</t>
  </si>
  <si>
    <t>data qual dependence;llm semantic drift/latency;scalability+transferability</t>
  </si>
  <si>
    <t>build MECM w/CMIbased casual discovery plus llmassisted confounder identification/backdoor checks;train CMarL w/causalityaware rewards;llmdriven dualcross evaluation use DFG proc mining+counterfactual simulaiton for confidence scoring</t>
  </si>
  <si>
    <t>a hybrid large+small modle pipeline clustering+multiagent preannotation+SLMguided llm NER improve domian NER</t>
  </si>
  <si>
    <t>faster proc planing;better knowlege reuse</t>
  </si>
  <si>
    <t>expert verfication</t>
  </si>
  <si>
    <t>domian terminology rarity;hallucinations;compute/latency;crossenterprise governance</t>
  </si>
  <si>
    <t>kmeans selects cluster centers for manual labels;multiagent SOP preannotates;fine tunw bertCRF/LSTM provides pseudolabels+retrieval examples;llm refines NER</t>
  </si>
  <si>
    <t>an llmagent w/tool library+contextual/longterm memory can interpret NL assembly instructions+drive UR5</t>
  </si>
  <si>
    <t>more flexibel HRC;lower cognitive load</t>
  </si>
  <si>
    <t>hallucinations;token/memory growth;safe vaild;precision constaints</t>
  </si>
  <si>
    <t>original llm no fine tunning produces ThoughtActionAction input plans;tools execute object detection;depth/coordinate transforms;robot motion/grasp w/ROS2</t>
  </si>
  <si>
    <t>integrating multimodal perception+mutualsafe cognition+llm rag assembly expert into ar guidance improve assembly</t>
  </si>
  <si>
    <t>faster assembly;lower cognitive load</t>
  </si>
  <si>
    <t>scenariospecific perception generalization;llm latency;deployment robustness;unseenevent safe handling</t>
  </si>
  <si>
    <t>gpt4o mini w/promptbased expert identity+rag using textembedding3small+FaiSS topk=5;multimodal perception MediaPipe+Transformer for actions;improved Deformable DETR for parts;ar on HoloLens2</t>
  </si>
  <si>
    <t>a Cdt integrating AAS PPR submodels w/llm CoT+rag performs capability matching for dynamic;in machiningcenter case;CoT reaches~79% acc vs~29% rule baseline</t>
  </si>
  <si>
    <t>better resorces matching acc</t>
  </si>
  <si>
    <t>textonly limitation vs CAD/drawings;prompt sensitivity;llm bias toward more capable machines</t>
  </si>
  <si>
    <t>aas PPR templates ProcessSegment;RoleCapability stored in BaSyx server/registry;rag use embeddings over AAS entity idShort+descrip+gpt4 chat+entity matcher;CoT prompt fills capability template</t>
  </si>
  <si>
    <t>a WGANGP+ResNet pipeline G2R gen synthetic robot power data+predicts manipulator power consumption;supporting energyplaning analytics</t>
  </si>
  <si>
    <t>more accurate power modeling</t>
  </si>
  <si>
    <t>need more diverse realworld datasets;scaling+realworld vaild gaps</t>
  </si>
  <si>
    <t>ten 6DoF robots simulated in PyBullet;power topology in MATLAB/Simulink w/grid+solar+BESS;WGANGP gen synthetic power targets;ResNet w/residual blocks+attention predicts power</t>
  </si>
  <si>
    <t>combines energyminimization selfalignment simulator EMLS w/physicsguided CVAEGAN MobileViT discriminator to gen PostAOI images;achieves SSIM ≈ 0.8348+LPIPS ≈ 0.0917</t>
  </si>
  <si>
    <t>better defect visualization;virtual prototyping</t>
  </si>
  <si>
    <t>limitd generalization to extreme offsets;resolution limits;dataset not public</t>
  </si>
  <si>
    <t>inputs from SPI+PreAOI feed EMLS TALlinked iterations to produce displacementvector sequences;generator physicsguided CVAE w/1DCNN encoder+transposedconv decoder;discriminator MobileViT;trained w/reconstruction+perceptual VGG+KL+adversarial losses</t>
  </si>
  <si>
    <t>triontology+bidirectional kg construction builds large factory kg;ontologyguided prompting+kgfragment retrieval+loratuned DeepSeek improve domian QA vs llmonly+kgonly;reducing hallucinations</t>
  </si>
  <si>
    <t>more accurate;professional proc QA</t>
  </si>
  <si>
    <t>domian data scarcity;kg maint effort;llm hallucination risk w/o grounding</t>
  </si>
  <si>
    <t>proc/resorces/feature ontologies → Neo4j kg orderlevel kg fragments+graphembedding fusion;DeepSeekllm7BChat loratuned using ontologyderived prompts+synthetic QA from kg;llm gen Cypher queries+produces grounded answers</t>
  </si>
  <si>
    <t>the idt learns interpretable decisiontree scheduling policies w/simulaitonoptim evolutionary search+rl,+use llms;HITL voting speeds convergence reported up to~21%</t>
  </si>
  <si>
    <t>better interpretability+usability</t>
  </si>
  <si>
    <t>data availability/qual;integr/industrialization effort;compute time for optim;blackbox trust concerns</t>
  </si>
  <si>
    <t>anyLogic dt+Python optimizer ALPypeOpt;Grammatical evolution builds decision trees;leaf actions updated w/Qlearning;llm APIs</t>
  </si>
  <si>
    <t>a difficultyaware multiagent workflow guide blueprint+discriminator routing+debate/judge boosts faultdiag MCQA acc on;;Llama3.18B rises from 36.5% to 54.6%</t>
  </si>
  <si>
    <t>higher diagnostic acc;better eff</t>
  </si>
  <si>
    <t>benchmrksonly evaluation;latency/cost tradeoff;realtime/noisy data not vaild</t>
  </si>
  <si>
    <t>guide agent creates casual reasoning blueprint;discriminator labels SIMPLE/COMPLEX;simple path use one answerer;complex path use peroption advocates+judge</t>
  </si>
  <si>
    <t>the fw injects domian priors into llm Ptuning to extract triples 91.33% F1+use subgraph;beating rag baseline under noisy queries</t>
  </si>
  <si>
    <t>faster;more accurate assembly guidance</t>
  </si>
  <si>
    <t>entity ambiguity;need expert review;zerotolerance safe requirements</t>
  </si>
  <si>
    <t>chatglm6B+PTuning V2 injects domian prompts;LSTM performs joint NER+relation extraction to build Neo4j kg;reasoning vectorizes question+candidate subgraphs w/shared embedding matrix+dotproduct scoring;includes UI knowlege assistant</t>
  </si>
  <si>
    <t>propose MESembedded architecture;includes guardrails domian scoping;range checks+demo interactions</t>
  </si>
  <si>
    <t>faster anomaly responce;reduced human error</t>
  </si>
  <si>
    <t>very small real dataset;surrogate overfitting;no live plant trial;llm bias/latency</t>
  </si>
  <si>
    <t>mlp surrogate trained on 31 records augmented to simulate viscosity dynamics;PPO learns additive/solvent ratios;gpt3.5 Turbo16k use function calling to invoke rl API+returns SOPlike recs;MES can trigger queries+receive responce</t>
  </si>
  <si>
    <t>llmdriven modules Thinking/Decision replace fixed heuristics/DRL training;enabling realtime negotiationbased machine selection;physical shopfloor experiments show lower makespan+higher stability vs rules ;WINQ/SMPT w/o pretraining</t>
  </si>
  <si>
    <t>lower makespan;improved adaptability/stability</t>
  </si>
  <si>
    <t>llm latency;API/network failures;data security concerns;occasional erroneous outputs</t>
  </si>
  <si>
    <t>physicallayer MSM connects to PLC/sensors+machine SDKs ;Siemens/FANUC to execute tasks;BIM/BM exchange bidding docs;TM/DM call llm APIs chatgpt/claude/glm/gemini using Markdown prompts+CoT</t>
  </si>
  <si>
    <t>defectGen use Mllms to gen long prompts;finetunes DiT texttoimage modle w/DoKr,+filters outputs w/DINOv2 clustering filter;improving anomaly classification acc by~5.58% on MVTec AD</t>
  </si>
  <si>
    <t>higher anomaly classification acc</t>
  </si>
  <si>
    <t>few real anomaly samples;occasional unrealistic generations;manual mask labeling for localization</t>
  </si>
  <si>
    <t>mllm prompt generation/variation creates imagetext pairs;Flux/DiT modle fine tunw w/DoKr Kronecker+weight decomposition;RealGuided Clustering Filter use DINOv2 features+Kmeans silhouettes to select topqual synthetic anomalies</t>
  </si>
  <si>
    <t>users specify scheduling requirements in NL;trained AdaBoost parser maps queries to extended threefield notation ETFN;then autogen GA code;Parser hits~92% on unseen data</t>
  </si>
  <si>
    <t>easier scheduling customization;better fitness</t>
  </si>
  <si>
    <t>limitd to predefined keyword/requirement classes;GA runtime grows w/constaints;needs integr/maint for other factories/problems</t>
  </si>
  <si>
    <t>matlab sys w/interface → AdaBoost NL parser features from keyword positions/cooccurrence → ETFN generation →;imports release plan/recipes/transport matrix+exports schedule to Excel for project management</t>
  </si>
  <si>
    <t>a 3stage multiagent lowcode pipeline intent→parameter parsing w/multimodal calls→human verfication plus rag cognitive assistance enable</t>
  </si>
  <si>
    <t>faster programming;lower cognitive load</t>
  </si>
  <si>
    <t>protocol silos;markerbased positioning limits;lack of motion preview;extending beyond drilling needs new skills/KB</t>
  </si>
  <si>
    <t>deepSeek for parsing+gpt4omini for rag generation;embeddings textembeddingada002+LangChain;multimodal augmentation vision marker detection for 6DoF;outputs written to Siemens PLC DB w/Snap7 to execute robot drilling</t>
  </si>
  <si>
    <t>a dualgraph module geometric consistency+semantic dependency injected into Mllm improve stitch acc+geometric;GenPattern reaches 86.7% stitch acc+2.9 cm panel vertex L2 error</t>
  </si>
  <si>
    <t>expertfree garment pattern generation</t>
  </si>
  <si>
    <t>generalization to unseen garment categories;token quantization error;scaling to batch prod nesting/coordination</t>
  </si>
  <si>
    <t>llaVA1.5 7B fine tunw on GCDMM~100k patterns;SVGstyle pattern tokenizer;SewGraphFuser GCN over GCG/SDG+sequence graph conv injects graph embeddings w/crossattention;outputs robotcompatible cutting code to UR10e humanrobot collaborative cutting HRCC platform w/safe monitoring</t>
  </si>
  <si>
    <t>imChat combines rag over manuals/troubleshooting tables w/toolcalling to diffusion modle trained on sixmonth factory data;Expert evaluation show gpt4o variant highest acc;multiagent beats fine tunw single llm</t>
  </si>
  <si>
    <t>better troubleshooting acc</t>
  </si>
  <si>
    <t>latency/cost;multimodal parsing limits;dependence on external APIs;evaluation needs experts</t>
  </si>
  <si>
    <t>langChain/LangGraph agents Task Formatter;Translator;Planner/Executor/Supervisor;Reporter call tools:web search</t>
  </si>
  <si>
    <t>a nocode pipeline records engineer demonstrations as pointcloud video;autoregisters parts RANSAC+ICP,+use fine tunw llm chatglm49B+lora to gen step text;users complete 16step assembly using generated ar guidance</t>
  </si>
  <si>
    <t>faster ar instruction creation</t>
  </si>
  <si>
    <t>tagbased registration limits;limitd workspace scale;more detailed text/animations needed;current evaluation smallscale</t>
  </si>
  <si>
    <t>multiRGBD cameras Azure Kinect record pointcloud video;AprilTags coordinate registration;engineers add bounding boxes in vr;Open3D RANSAC+ICP matches real point clouds to CAD templates</t>
  </si>
  <si>
    <t>builds WamGLM ViT+QFormer+chatglm w/lora+multiturn VMQA dataset;achieves strong defect recognition~98.6% acc+much higher Q3/Q4 answer acc w/multiturn tuning~96%</t>
  </si>
  <si>
    <t>better defect diag Q&amp;A</t>
  </si>
  <si>
    <t>hallucinations need manual correction;domian knowlege limits;dataset not shareable;no factory deployment evidence</t>
  </si>
  <si>
    <t>eva ViT encoder+QFormer alignment+chatglm6B;lora on selected layers;PSCL class prototypes for visual features;WaferMapVMQA generated by qwen modles w/sys prompts+manual postprocessing</t>
  </si>
  <si>
    <t>a twostage pipeline classifies seven print faults best modle ResNet50~0.984 acc+use llms w/</t>
  </si>
  <si>
    <t>more interpretable fault guidance</t>
  </si>
  <si>
    <t>small dataset 81 images;data not shareable;llm output qual depends on prompting;no MES/realtime integr demonstrated</t>
  </si>
  <si>
    <t>user uploads fault image → fault classifier predicts label → label injected into prompt templates zeroshot/CoT/ToT/DSP/APE;PEF use multiple llm agents scoring responce</t>
  </si>
  <si>
    <t>a heterogeneousgraph+constaintsmasked discrete diffusion DiGressbased gen feasible FSMS configurations meeting demand w/fewer resorces;beat heuristics;MINLP,+GA on demand satisfaction/yield/resorces use+improve feasibility w/sysproperty infusion+ICC refinement</t>
  </si>
  <si>
    <t>higher demand satisfaction;lower resorces use</t>
  </si>
  <si>
    <t>scalability degrades for large FSMS like &gt;15 workstations;relies on simulaiton/modle assumptions;no realtime rescheduling yet</t>
  </si>
  <si>
    <t>fsms represented as heterogeneous graph w/node/edge features from dataenabled mathematical modle yield;defects;ICC;PPL</t>
  </si>
  <si>
    <t>propose modular Sliding Work Sharing ontology w/dt/Hdt concepts+validates it w/two sector use;OWL reasoners,+raggenerated competency questions formalized as SParQL</t>
  </si>
  <si>
    <t>scalable ontology coverage evaluation</t>
  </si>
  <si>
    <t>no operational deployment;llm CQ qual/bias needs screening</t>
  </si>
  <si>
    <t>owl ontology built in Protégé;integrates dt/Hdt/task scheduling;evaluated w/FaCT++/HermiT/Pellet+SParQL on Apache Jena;rag gen competency questions</t>
  </si>
  <si>
    <t>stkllm integrates spatiotemporal kg w/ragenabled llm/agents to recommend berths;empirical analysis across 10 ports Yangtze River Delta reports~20% lower waiting+~15% higher utilization</t>
  </si>
  <si>
    <t>~20% less waiting;~15% higher utilization berth allocation</t>
  </si>
  <si>
    <t>limitd benefit for specialized berths;need richer multimodal fusion+realtime hydro/met data</t>
  </si>
  <si>
    <t>builds STkg from aiS/archives/remote sensing;Neo4j triplets;TransE/TransH/TransD embeddings+MKR recommender;rag w/openai embeddings+llm</t>
  </si>
  <si>
    <t>drrag combines domian kg;mined rules association/sequential;ruleaware retrieval,+dt feedback;it improve retrieval metrics Recall@10</t>
  </si>
  <si>
    <t>better retrieval;fewer design iterations</t>
  </si>
  <si>
    <t>data sharing limits;XML still errorprone;mostly lab evaluation;limitd real operational vaild</t>
  </si>
  <si>
    <t>hybrid R2D+llm entity/relation extraction builds dynamic kg;Apriori/PrefixSpan mine rules;BFS/DFS rule retrieval+ranking;rag w/multiple llms</t>
  </si>
  <si>
    <t>propose MllmDAkgC using Qwen2VL to enhance multimodal NER/RE for O&amp;M kg construction;achieves F1 88.40% MNER+93.79% MRE+improve downstream kg reasoning+maint recs acc</t>
  </si>
  <si>
    <t>faster diag;higher acc</t>
  </si>
  <si>
    <t>data privacy prevents sharing;annotation cost;needs real operational deployment evidence</t>
  </si>
  <si>
    <t>dualstream roberta+ViT w/frozen Qwen2VL feature injection;MTTransformer w/casual/dilated conv+Memory_Bank;MDWA attention;CRF/Softmax for MNER/MRE</t>
  </si>
  <si>
    <t>builds multimodal casual knowlege hypergraph hypernodes+hyperedges using CoCTprompted llm extraction;then reasons w/CRCGAT+ConvE;improve link prediction+longchain rootcause backtracking on crane tickets</t>
  </si>
  <si>
    <t>higher rootcause acc</t>
  </si>
  <si>
    <t>prompt sensitivity+hallucinations;singleequipment dataset;no live deployment;confidental data</t>
  </si>
  <si>
    <t>coCT prompts ;DeepSeekR1/openai o1 extract long casual chains+compositefault hyperedges;Neo4j stores MCKH;CRCGAT encoder hyperedgeaware/layer attention+ConvE decoder for link prediction+backtracking</t>
  </si>
  <si>
    <t>an llmcentered cognitive agent retrieves relevant Ikg subgraphs+use prompt engineering+fewshot learning to;improve executability/goal achievement vs llmonly baselines</t>
  </si>
  <si>
    <t>higher task plan success rate</t>
  </si>
  <si>
    <t>hallucinated actions/locations;ambiguity handling;retrieval errors from vague commands</t>
  </si>
  <si>
    <t>gpt4o agent w/sequential prompts;retrieves onehop Ikg subgraphs w/Neo4j/py2neo;bert embeddings for node match;calls ROS/MoveIt/Nav2/Detic to gen control code for AMR+arm</t>
  </si>
  <si>
    <t>propose MATP Crewai multiagent+tools+GA;estimates human/robot states,+allocates tasks;beat singleagent+traditional baselines in planing qual+adaptability</t>
  </si>
  <si>
    <t>higher planing qual+adaptability</t>
  </si>
  <si>
    <t>llm hallucinations/ambiguity;compute cost as task size grows;limitd crossdomian vaild</t>
  </si>
  <si>
    <t>crewai agents Manager/Decomp/Opr/Rob/Alloc/Val using gpt4o;op fatigue w/EEG+RF;posture w/REBA from Azure Kinect;trust w/Bayesian network</t>
  </si>
  <si>
    <t>propose Hybridrag w/multimodal semantic trees MMST+multimodal kgs MMkg;plus R3 retrieverrerankerresponder semanticalignment training fw+multiagent retrieval;achieves best multimodal retrieval/generation metrics vs baselines</t>
  </si>
  <si>
    <t>higher retrieval acc;better multimodal answers</t>
  </si>
  <si>
    <t>confidental data;limitd explainability for multientity queries;higher latency in 3agent mode</t>
  </si>
  <si>
    <t>ocr extracts document elements;GMM clustering+Mllm summarization builds MMST;gpt4 prompts extract entities/relations to build MMkg;R3 trains retriever BGEM3</t>
  </si>
  <si>
    <t>propose quintuplebased assembly kg scheme+full pipeline combining llm fine tunning for NER/kg construction/alignment w/rule+embedding;improving task accuracies+kg completion perf</t>
  </si>
  <si>
    <t>higher knowlege acquisition eff</t>
  </si>
  <si>
    <t>small datasets;hallucination risk in inference;no shopfloor deployment</t>
  </si>
  <si>
    <t>quintuple kg entity;relation;entity types;Qlora fine tunw llm for NER/KC/EA</t>
  </si>
  <si>
    <t>gpt4o+LLaVA1.6 classify weld acceptability better on online than realworld images;WeldPrompt CoT+incontext examples can improve recall/F1 in some contexts but inconsistent</t>
  </si>
  <si>
    <t>improved weld acceptability assessment</t>
  </si>
  <si>
    <t>expertlabeled realworld dataset;careful filtering of annotated images</t>
  </si>
  <si>
    <t>memorization vs generalization gap;inconsistent prompt gains;domianspecific fine tunning needed;class imbalance aeronautical</t>
  </si>
  <si>
    <t>builds realworld+online weld image datasets labeled by expert;evaluates gpt4o+LLaVA1.6 w/zeroshot vs WeldPrompt image embedding retrieval using ViT+cosine similarity</t>
  </si>
  <si>
    <t>llm forecasts highly variable under naïve oneshot use;averaging across repeated runs gptRobust plus detailed prompts yields acc comparable to strong benchmrks;decisiontree method selection further lowers error</t>
  </si>
  <si>
    <t>comparable acc w/o experts</t>
  </si>
  <si>
    <t>prompt clarity;stepbystep instructions;repetition+averaging;selfreflection loop</t>
  </si>
  <si>
    <t>tochasticity/volatility;failures/outliers on irregular demand;reliabilty concerns</t>
  </si>
  <si>
    <t>programmatically calls openai o1mini API;asks for Python forecasting scripts;executes locally;feeds back errors/results for up to 30 selfreflection iterations</t>
  </si>
  <si>
    <t>propose TriPllm patching/selecting/global branches+gate fusion+frozen pretrained llm+patch decoder+reports</t>
  </si>
  <si>
    <t>better detection;lower GPU memory</t>
  </si>
  <si>
    <t>no live deployment;limitd largerllm tests;future need for streaming/online detection</t>
  </si>
  <si>
    <t>threebranch patch encoder local patching+selecting+global TCN;gatefusion;frozen gpt2+1Bclass backbones;patchwise reconstruction decoder</t>
  </si>
  <si>
    <t>chatSync fuses IIoT status data+operational knowlege into resorces SpatialTemporal Graph RSTG+adds spatialtemporal/contextual/relational;In factory case;it improve task acc~96%+delivery punctuality to 91.2%</t>
  </si>
  <si>
    <t>higher delivery punctuality</t>
  </si>
  <si>
    <t>expertlabeled ground truth decisions;multisource knowlege standards+internal docs+interviews</t>
  </si>
  <si>
    <t>scaling as RSTG becomes dense;knowlege updates timeconsuming;latency/complexity tradeoffs</t>
  </si>
  <si>
    <t>builds resorces status graph from IIoT+resorces kg from documents/experts using llm triplet extraction;fuses into RSTG;use temporal memory+graph attention for allocation;kg retrieval+dynamic prompts for guidance</t>
  </si>
  <si>
    <t>vmad enhance Mllm for zeroshot anomaly detection using DefectSensitive Structure Learning aligning patchsimilarity distributions+Localityenhanced;achieves SOTA AUROC/AUPRO on MVTecAD;VisA;WFDD+RIAD</t>
  </si>
  <si>
    <t>better unseendefect detection/localization</t>
  </si>
  <si>
    <t>logical anomalies still weak;false positives;needs realtime optim+domian integr</t>
  </si>
  <si>
    <t>llaVA7B+clipViTL/14 vision encoder w/LTC projector;SAM ViTH visual backbone+mask decoder w/&lt;seg&gt; token;DSSL PBSD loss aligns visual vs textvisual patch similarities;trained on RIAD</t>
  </si>
  <si>
    <t>a dualagent MarL fw batch formation+assignment w/fine tunw lightweight llm for action guidance+;~25% vs heuristics in realworld scenarios+improve utilisation</t>
  </si>
  <si>
    <t>lower flow time;higher utilisation</t>
  </si>
  <si>
    <t>expertrule dataset</t>
  </si>
  <si>
    <t>simulaitonbased realworld case;deployment not yet done;latency/compute tradeoffs;scaling w/dense state/action spaces</t>
  </si>
  <si>
    <t>twostage fine tunning expert rules+rl trajectories of lightweight llm to propose candidate actions;PPO actorcritic MarL w/two agents;Transformer encoder fuses crossagent info;discreteevent fab simulaiton SimPy for case</t>
  </si>
  <si>
    <t>present 4step pipeline NL request → structured extraction → DES modle construction → execution/analysis generating excutable;handles 18 action types;sys creation takes~200420s;nonexperts build modles in 58 min vs 35 min w/Excel templates</t>
  </si>
  <si>
    <t>faster simulaiton modle creation</t>
  </si>
  <si>
    <t>reduced acc w/underspecified inputs;domianspecific parameter gaps;scaling to complex/highfidelity modles;need stronger vaild/grounding</t>
  </si>
  <si>
    <t>flask/JS chat UI;backend use qwen 2.5 Coder 32B for templateconstrained JSON generation 18 schemas w/rulebased detection+;constructs discreteevent simulaiton modles in Tecnomatix Plant simulaiton Input/Workstation/sys classes+outputs KPIs utilization;queues</t>
  </si>
  <si>
    <t>a hybrid pipeline OBB detection+rotation correction+hybrid objectdetection/OCR parsing+Mllm prompt extraction</t>
  </si>
  <si>
    <t>higher PMI extraction acc</t>
  </si>
  <si>
    <t>error accumulation across stages;irregular/lowqual scans;complex/implicit PMI semantics;need larger generalPMI datasets for fine tunning</t>
  </si>
  <si>
    <t>yolov11xOBB detects 15 PMI block types;rotation correction w/YOLO11xcls+PPLCNet;specialcontent detector+OCR PaddleOCR for symbols/tolerances;Mllm gpt4o/claude/gemini/QwenVL compared extracts standardized JSON from drawing frames</t>
  </si>
  <si>
    <t>a zeroshot gpt4 fw extracts entities/relations from public web text;disambiguates entities,+builds supplychain kg;EV case extends visibility beyond tier2+identifies dependencies/alternatives</t>
  </si>
  <si>
    <t>extended multitier visibility</t>
  </si>
  <si>
    <t>strong prompt design</t>
  </si>
  <si>
    <t>static kg;publicdata incompleteness;source credibility issues;weaker RE like suppliesTo</t>
  </si>
  <si>
    <t>gpt4 zeroshot prompts for NER/RE+entity disambiguation;constructs kg triples from Wikipedia/web pages;evaluates acc NER 0.95;RE 0.82</t>
  </si>
  <si>
    <t>fine tunning visionlanguage llm w/interactive semantics+transforming outputs into spatiotemporal hypergraph+Hawkessupported STGNN improve</t>
  </si>
  <si>
    <t>higher robotic decision acc</t>
  </si>
  <si>
    <t>llm latency seconds;frequent updates under high dynamics;stability of hypergraph reasoning in fast motion</t>
  </si>
  <si>
    <t>loRA finetunes LLaMA27B on 3118 visionlanguage samples;gpt4+expert vaild scores semantic similarity;constructs spatial/temporal/task hyperedges;Hawkessupported STGNN predicts evolving nonpairwise relations</t>
  </si>
  <si>
    <t>builds GragProSafe QAS;constructs dynamic safe kg,+use multihop graph retrieval+CoT for multiturn QA;achieves strong faithfulness/relevancy/correctness scores in evaluations</t>
  </si>
  <si>
    <t>more trustworthy safe answers</t>
  </si>
  <si>
    <t>evaluated on historical reports only;needs streaming/realtime vaild;extraction errors for rare/ambiguous entities;crossdomian generalization untested</t>
  </si>
  <si>
    <t>fourstage llm extraction entities;explicit relations;implicit casual inference;confidence scoring → Neo4j kg</t>
  </si>
  <si>
    <t>propose ragBandit llm orchestration agent;Cuts orchestration trials by~90%+vs baseline llm+transfers dtvaild pipelines to realworld twin</t>
  </si>
  <si>
    <t>faster convergence;improved KPIs</t>
  </si>
  <si>
    <t>no full factory floor access limitd physical counterparts;complexity under conflicting/multiobjective intents;llm hallucination risk;compute/latency overhead for orchestration</t>
  </si>
  <si>
    <t>rag over multisource corpus papers/standards/+memory;llm gen candidate DAG pipelines;LinTS chooses actiontrace;dt validates reward</t>
  </si>
  <si>
    <t>intro AutoFactory dataset+AutoLabelNER tool;finetunes/benchmrks 13 transformer modles for extracting actuators/preactuators/sensors from requirements best F1 ≈ 0.97+propose mapping</t>
  </si>
  <si>
    <t>faster component identification</t>
  </si>
  <si>
    <t>domianspecific labeled dataset</t>
  </si>
  <si>
    <t>confidental data scarcity;label ambiguity actuator vs preactuator;needs constaints/sequence extraction beyond entities;no plant deployment</t>
  </si>
  <si>
    <t>builds AutoFactory by manually writing baseline specs then llmrewriting chatgpt/claude/mistral+postprocessing;labels w/AutoLabelNER;finetunes encoder transformers bert/roberta/XLNet/for NER;maps extracted entities to predefined local control logic blocks to gen IEC 611313 Structured Text</t>
  </si>
  <si>
    <t>converting kg triplets into quintuplets adds context who supplies what to whom;Pretrained languagemodle embeddings combined w/ML classifiers beat MLonly benchmrks across 27 country partitions</t>
  </si>
  <si>
    <t>better visibility/link acc</t>
  </si>
  <si>
    <t>data access commercially sensitive;contextdependent perf;hallucination risk if LMs used directly</t>
  </si>
  <si>
    <t>build supplychain kg companies/products/certifications/relations;compress triplets into quintuplets;gen text templates;embed w/pretrained LMs</t>
  </si>
  <si>
    <t>propose UNISONE CSC fw+validates defectdetection modle on 12000 bearing records;best test acc 85.32% at noise ratio 0.6 using combined sparse+noisereduction autoencoder</t>
  </si>
  <si>
    <t>higher defectdetection acc</t>
  </si>
  <si>
    <t>highfrequency sensor data</t>
  </si>
  <si>
    <t>generalizability beyond bearings;confidental data;investment/skills;no realtime deployment evidence</t>
  </si>
  <si>
    <t>unisone fw integrates CSC+KDD+I4.0;defect detection w/sparse autoencoder+denoising Gaussian noise+Softmax classification;comparing optimizers+signaltonoise ratios;evaluated on 12k Drive End bearing dataset at 1797 RPM</t>
  </si>
  <si>
    <t>propose conversational crowdsensing architecture human/ai/robot communities;requestingschedulingexecuting phases;interhuman/humanai/interai conversations;Prototype WEBCSAGENT improve task success/completion rates vs ReAct+TPTU</t>
  </si>
  <si>
    <t>higher task success rate</t>
  </si>
  <si>
    <t>hallucination;limitd complex planing;need for transparency/accountability;hard to detect when ai stuck for handover to humans</t>
  </si>
  <si>
    <t>llm multiagent roles designer/op/critic/strategist/manager/assistant/supervisor/reporter;DAOstyle workflow;qwen7B fine tunw;ReActstyle tool use</t>
  </si>
  <si>
    <t>present multiagent workflow;gen Python robotcontrol scripts;executes them in simulated workcell,+iteratively debugs syntax/runtime/control errors ;collisions/unreachable poses</t>
  </si>
  <si>
    <t>faster robot programming/debugging</t>
  </si>
  <si>
    <t>simulaiton success ≠ semantic correctness;llm may make code run but skip intended behavior;limitd spatial reasoning;needs human oversight for nuanced outcomes</t>
  </si>
  <si>
    <t>task Decomposition Agent outputs subtasks+behavior labels Move/Pick/Place/Insert;Script Generation Agent writes/updates scripts using chat history+API docs;scripts executed in closedsource simulaiton integrated w/Fusion 360;workcell has two UR10e robots w/toolchanger/grippers+cameras</t>
  </si>
  <si>
    <t>survey: efficency is top benefit; securty is top challng; adopt is key trend; org learning speeds adopt</t>
  </si>
  <si>
    <t>enhanc sc perf; agility; responsivness</t>
  </si>
  <si>
    <t>org learning process; practitioner optimism</t>
  </si>
  <si>
    <t>securty; ethical risks; adopt uncertnty</t>
  </si>
  <si>
    <t>designer strugl w ai opacity and goal comm; successful learners explored systematically; user want contextual; conversational</t>
  </si>
  <si>
    <t>potential for faster; more innovative; and complex design process</t>
  </si>
  <si>
    <t>stepbystep guidance; reflection prompts; multimodal supp</t>
  </si>
  <si>
    <t>difficulty understanding ai output; lack of goal alignment; low interaction transparency</t>
  </si>
  <si>
    <t>concept arch &amp; taxonmy for industrial chatbots: fivemodule arch; 18dimension taxonmy; rulebased dominates; low humanization</t>
  </si>
  <si>
    <t>faster info access; handsfree operation; efficency gains; trainng and decision supp</t>
  </si>
  <si>
    <t>robust asr; domain corpora; service integ; restricted knowledge domains; humanintheloop design</t>
  </si>
  <si>
    <t>noise; accents; domain vocabulary complex; data scarcity; safety securty; lack of standards</t>
  </si>
  <si>
    <t>7 capab of ai &amp; gai; capabbased frmwrk mapping ai gai to 13 scom areas</t>
  </si>
  <si>
    <t>efficency; acc; resilience; bettter decision; innov potential</t>
  </si>
  <si>
    <t>textmining and clustering of 300 surveys show earlystage genai projects; benefits: cost efficency; challngs: data; skills; integ</t>
  </si>
  <si>
    <t>improv operating efficency; cost reduc; cust satisfaction; sustain</t>
  </si>
  <si>
    <t>data challngs data qual; data privcy; and data securty; tech reliablty model complex</t>
  </si>
  <si>
    <t>id 10 genai functions and interactions; developed a strategic roadmap of how genai functions contribute to realizing the sustain objectives of in</t>
  </si>
  <si>
    <t>improv resilience; qual; efficency; worker empowerment; cust supp; advances econ; soc; env sustain</t>
  </si>
  <si>
    <t>highqual data; trainng upskilling; governance; partnerships; phased impl per roadmap</t>
  </si>
  <si>
    <t>data scarcity cost; legacy integ; compute limits; bias fairness; privcy; job displacement resistance</t>
  </si>
  <si>
    <t>ai; gai; big data analytics; and mlplays a major role in effective and creative product design; consequently facilitating the related mfg process</t>
  </si>
  <si>
    <t>enable personlized design mfg; efficency and sustain gains; supp circular economy</t>
  </si>
  <si>
    <t>propose a tentheory toolbox to evaluate genais adopt; show usefulness of diffrent theories and boundary conditions</t>
  </si>
  <si>
    <t>potential value creation and bettter benchmarking insight</t>
  </si>
  <si>
    <t>highqual kpi data</t>
  </si>
  <si>
    <t>skepticism; fear; ethical concerns</t>
  </si>
  <si>
    <t>data from 213 chinese mfg firms; we show a positive relationship between genai usage and sustain sc perf sscp; further</t>
  </si>
  <si>
    <t>improv sscp econ; soc; env thru collab and circular practices</t>
  </si>
  <si>
    <t>use both plssem and cbsem; genai capab of a jordanian firm improv digital sc perf; boost exploratory exploitative innov</t>
  </si>
  <si>
    <t>improv digital sc perf</t>
  </si>
  <si>
    <t>genai usage depth boost perf; suplyer buyer coord mediate; dynamism strengthens mediation; direct effect remains significant</t>
  </si>
  <si>
    <t>improv sc perf</t>
  </si>
  <si>
    <t>chatgpt potentially benefit sc ops in 15 areas; strongest for efficency; cost; forecast; comm; challngs: acc; cannot replace experts</t>
  </si>
  <si>
    <t>efficency gains; cost reduc; sustain reporting; bettter forecast</t>
  </si>
  <si>
    <t>acc limits; maturity timeline; cannot replace experts; not immediate gamechanger</t>
  </si>
  <si>
    <t>perceived relative advantage drives; and complex hinders; genai adopt; compatibility and competitive pressure are nonsignificant</t>
  </si>
  <si>
    <t>firms using genai report higher exploratory and exploitative innov</t>
  </si>
  <si>
    <t>clear relative advantage; supportive techorg fit; and high env dynamism encourage genai uptake</t>
  </si>
  <si>
    <t>high perceived complex of genai tools and limted compatibility w existing process slow adopt</t>
  </si>
  <si>
    <t>gai adopt boost both exploitative learning and exploratory learning; which in turn drive sustain businessmodel innov sbmi</t>
  </si>
  <si>
    <t>firms w higher gai adopt achieve superior sbmi by simultaneously refining existing production process and</t>
  </si>
  <si>
    <t>strng internationalentrepreneurship orientation; and systematic gai trainng</t>
  </si>
  <si>
    <t>prioritize genai capab most improv gscm: dynamic knowledge &amp; innovative learning; reflexive control &amp; measurement; and coevolution</t>
  </si>
  <si>
    <t>genai enhanc gscm by improving forecast; reducing waste; strengthening collab; and supporting ecodesign</t>
  </si>
  <si>
    <t>ensure clean; consistent sc data; embed learning into sensing; use reflexive monitoring</t>
  </si>
  <si>
    <t>limted focus on dynamic sc data analysis and data qual; plus weak endoflife and waste practices</t>
  </si>
  <si>
    <t>chatgpt helps review diffrent dt designs; suggest bettter options; and quickly create clear explanations</t>
  </si>
  <si>
    <t>making the dt design process faster and smarter</t>
  </si>
  <si>
    <t>structurd prompts so chatgpt learns component descriptors bfore recommending combinations</t>
  </si>
  <si>
    <t>llm may lack domain depth; carry bias; misinterpret intent; and require validatn to avoid overrely</t>
  </si>
  <si>
    <t>classify five core gai capab learning creativity; perception prediction; expression comm; collab interaction</t>
  </si>
  <si>
    <t>gai enhanc visibility; forecast acc; responsivness; collab; and resilience</t>
  </si>
  <si>
    <t>highqual; accessible; standardized data; realtime integ; model interp; governance and costaware deployment</t>
  </si>
  <si>
    <t>data silos and qual issues; ethics privcy and opacity; integ complex and acceptance; high compute cost</t>
  </si>
  <si>
    <t>chatgpt significantly improv suplyers sc perf sscp; effects vary by scale</t>
  </si>
  <si>
    <t>using chatgpt raises qual; speed; flexibility; and cost perf in suplyers ops by accelerating info process</t>
  </si>
  <si>
    <t>suplyer trainng on chatgpt; org readiness</t>
  </si>
  <si>
    <t>large suplyers mature systems may be disrupted by new tools; need for data infrastructure; privcy securty</t>
  </si>
  <si>
    <t>find attitude is the key driver of adopt; fit and soc influence act via attitude; not directly</t>
  </si>
  <si>
    <t>enhanc ttf by matching gai capab to task needs; simplify ui interfaces; provide trainng and org supp</t>
  </si>
  <si>
    <t>perceived complex ui; integ effort; and privcy regulatory concerns hinder adopt even w good fit</t>
  </si>
  <si>
    <t>the llm reliably turns informal descriptions into executable workflows; passes fsm checks; and runs on real equipment</t>
  </si>
  <si>
    <t>the llm accelerates process planning; reduce manual configuration</t>
  </si>
  <si>
    <t>data &amp; knowledge: device function catalogs and structurd prompt templates</t>
  </si>
  <si>
    <t>llm unpredictability; perf depends on knowledge base and system integ qual</t>
  </si>
  <si>
    <t>text generation was rated most relevant for logistics; w audio video generation least used</t>
  </si>
  <si>
    <t>genai is perceived to improv efficency and reduce costs while catalyzing innov</t>
  </si>
  <si>
    <t>data standardization and verification; aligning data structures w ml needs</t>
  </si>
  <si>
    <t>scaling pilots enterprisewide; siloed lowqual data; data securty and privcy</t>
  </si>
  <si>
    <t>a multilingual rag chatbot improv technicians troubleshootingtask answer qual in a controlled field experiment</t>
  </si>
  <si>
    <t>higher troubleshooting task perf</t>
  </si>
  <si>
    <t>citations links; usercentred design</t>
  </si>
  <si>
    <t>response speed; limted knowledge base; terminology mismatch; hallucination</t>
  </si>
  <si>
    <t>structurd prompts w gpt4o extract three risk indicators external; operational; digitaltech</t>
  </si>
  <si>
    <t>bettter risk signal validity</t>
  </si>
  <si>
    <t>disclosure bias; prompt transferability</t>
  </si>
  <si>
    <t>ai application proxied by ai patents incr productarch generativity more intelligent functions; generativity incr sales</t>
  </si>
  <si>
    <t>higher product sales</t>
  </si>
  <si>
    <t>ai application capab; digital mfg data; modular interfaces enabling recombination</t>
  </si>
  <si>
    <t>measuring llm adopt indirectly media; boundary conditions wher llm substitutes for adding functions</t>
  </si>
  <si>
    <t>genai capab improv internationalization green innov perf directly and indirectly via sc exploratory and exploitative innov</t>
  </si>
  <si>
    <t>bettter green innov perf</t>
  </si>
  <si>
    <t>genai resources + skills + strategy; sc ambidexterity; supportive regulation</t>
  </si>
  <si>
    <t>data qual integ; compliance burden; measurement via selfreport</t>
  </si>
  <si>
    <t>llm adopt reduce consumr uncertnty in customization; w price discrimination it typically improv manufacturer retailer outcomes and welfare</t>
  </si>
  <si>
    <t>higher profit; consumr surplus; welfare</t>
  </si>
  <si>
    <t>low privcy cost; suitable sharing ratios</t>
  </si>
  <si>
    <t>privcy concerns costs; coord complex</t>
  </si>
  <si>
    <t>gemini1; 5 flash generates article summaries and sentiment scores 1 to 1 w repeated runs; ttests + reliablty checks</t>
  </si>
  <si>
    <t>more reliable; interp sentiment signals</t>
  </si>
  <si>
    <t>hallucin; context loss in long windows; language bias</t>
  </si>
  <si>
    <t>across nine scm tasks; low temperature improv acc feasibility demand mae mse; high temperature boost innov but incr hallucination risk</t>
  </si>
  <si>
    <t>bettter scm decisions via tuned outputs</t>
  </si>
  <si>
    <t>temperature calibration; expert evaluation</t>
  </si>
  <si>
    <t>hallucin; acccreativity tradeoff; simulated tasks not full reality</t>
  </si>
  <si>
    <t>sing firmyear panel data; genai adopt gai_index and embedded capab gaic predict higher ops capab reliablty responsivness coord</t>
  </si>
  <si>
    <t>higher sustain perf</t>
  </si>
  <si>
    <t>genai utilisation incr sc risk perception; cognitive load partially mediates</t>
  </si>
  <si>
    <t>higher risk sensitivity</t>
  </si>
  <si>
    <t>appropriate tasktech fit; employee ai literacy</t>
  </si>
  <si>
    <t>overrely validatn burden; uneven ai literacy; probabilistic output uncertnty</t>
  </si>
  <si>
    <t>unisone integrates genai disruption sensing to markov capacitystate transitions to mip reoptimisation; in a 3region empirical simulation</t>
  </si>
  <si>
    <t>higher service continuity</t>
  </si>
  <si>
    <t>misinfo risk; integ effort w enterprise systems</t>
  </si>
  <si>
    <t>tech and org contexts predict gaic impl; gaic incr org creativity and green innov ambidexterity</t>
  </si>
  <si>
    <t>higher green competitive advantage</t>
  </si>
  <si>
    <t>survey data n=382 and plssem; perceived tasktech fit incr trust and satisfaction; satisfaction not trust predicts adopt intention</t>
  </si>
  <si>
    <t>higher adopt intention</t>
  </si>
  <si>
    <t>strng perceived task fit; user satisfaction; trainng change management to reduce anxiety</t>
  </si>
  <si>
    <t>tech anxiety; limted perceived adaptability value; trust alone insufficient to drive adopt</t>
  </si>
  <si>
    <t>unisone 7stage integrates gai scenario reasoning w mcda and simulation; in the tepla case</t>
  </si>
  <si>
    <t>lower emissions; higher fulfillment</t>
  </si>
  <si>
    <t>access to erp logistics + unstructured logs</t>
  </si>
  <si>
    <t>singlefirm validatn; data granularity limits; subjective preference elicitation</t>
  </si>
  <si>
    <t>propose an integ frmwrk wher iob data + genai enable prediction; optim; and personalization; improving suplyer planning; distributor routing</t>
  </si>
  <si>
    <t>bettter sc perf</t>
  </si>
  <si>
    <t>info sharing; strategic partnerships; qual iob data; governance privcy protections</t>
  </si>
  <si>
    <t>privcy securty risks; bias; legacysystem integ; data qual verification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</si>
</sst>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9"/>
      <color indexed="81"/>
      <name val="Tahoma"/>
      <charset val="1"/>
    </font>
    <font>
      <b/>
      <sz val="9"/>
      <color indexed="81"/>
      <name val="Tahoma"/>
      <charset val="1"/>
    </font>
    <font>
      <b/>
      <sz val="11"/>
      <color theme="1"/>
      <name val="Calibri"/>
      <family val="2"/>
      <scheme val="minor"/>
    </font>
    <font>
      <sz val="9"/>
      <color indexed="81"/>
      <name val="Tahoma"/>
      <family val="2"/>
    </font>
    <font>
      <b/>
      <sz val="9"/>
      <color indexed="81"/>
      <name val="Tahoma"/>
      <family val="2"/>
    </font>
    <font>
      <b/>
      <sz val="11"/>
      <color rgb="FFFF0000"/>
      <name val="Calibri"/>
      <family val="2"/>
      <scheme val="minor"/>
    </font>
    <font>
      <sz val="9"/>
      <color indexed="81"/>
      <name val="Tahoma"/>
    </font>
    <font>
      <b/>
      <sz val="9"/>
      <color indexed="81"/>
      <name val="Tahoma"/>
    </font>
    <font>
      <sz val="11"/>
      <color rgb="FFFF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7" tint="0.39997558519241921"/>
        <bgColor indexed="64"/>
      </patternFill>
    </fill>
    <fill>
      <patternFill patternType="solid">
        <fgColor theme="3"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41">
    <xf numFmtId="0" fontId="0" fillId="0" borderId="0" xfId="0"/>
    <xf numFmtId="0" fontId="0" fillId="0" borderId="1" xfId="0" applyBorder="1" applyAlignment="1">
      <alignment horizontal="center" vertical="center" wrapText="1"/>
    </xf>
    <xf numFmtId="0" fontId="3" fillId="0" borderId="0" xfId="0" applyFont="1" applyAlignment="1">
      <alignment horizontal="center" vertical="center"/>
    </xf>
    <xf numFmtId="0" fontId="0" fillId="0" borderId="0" xfId="0" pivotButton="1"/>
    <xf numFmtId="0" fontId="0" fillId="0" borderId="0" xfId="0" applyAlignment="1">
      <alignment horizontal="left"/>
    </xf>
    <xf numFmtId="0" fontId="3" fillId="0" borderId="0" xfId="0" applyFont="1" applyAlignment="1">
      <alignment horizontal="left"/>
    </xf>
    <xf numFmtId="0" fontId="0" fillId="0" borderId="1" xfId="0" applyBorder="1" applyAlignment="1">
      <alignment horizontal="left"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0" fillId="0" borderId="1" xfId="0" applyBorder="1" applyAlignment="1">
      <alignment horizontal="left" vertical="center"/>
    </xf>
    <xf numFmtId="0" fontId="0" fillId="0" borderId="1" xfId="0" applyBorder="1" applyAlignment="1">
      <alignment wrapText="1"/>
    </xf>
    <xf numFmtId="49" fontId="3" fillId="0" borderId="1" xfId="0" applyNumberFormat="1" applyFont="1" applyBorder="1" applyAlignment="1">
      <alignment horizontal="center" vertical="center" wrapText="1"/>
    </xf>
    <xf numFmtId="49" fontId="0" fillId="0" borderId="1" xfId="0" applyNumberFormat="1" applyBorder="1" applyAlignment="1">
      <alignment horizontal="left" vertical="center" wrapText="1"/>
    </xf>
    <xf numFmtId="0" fontId="6" fillId="0" borderId="0" xfId="0" applyFont="1"/>
    <xf numFmtId="0" fontId="0" fillId="0" borderId="1" xfId="0" applyBorder="1" applyAlignment="1">
      <alignment horizontal="left" vertical="top" wrapText="1"/>
    </xf>
    <xf numFmtId="0" fontId="0" fillId="0" borderId="1" xfId="0" applyBorder="1" applyAlignment="1">
      <alignment horizontal="center" wrapText="1"/>
    </xf>
    <xf numFmtId="0" fontId="0" fillId="0" borderId="3" xfId="0" applyBorder="1" applyAlignment="1">
      <alignment horizontal="left" vertical="center" wrapText="1"/>
    </xf>
    <xf numFmtId="0" fontId="3" fillId="2" borderId="1" xfId="0" applyFont="1" applyFill="1" applyBorder="1" applyAlignment="1">
      <alignment horizontal="center" vertical="center" wrapText="1"/>
    </xf>
    <xf numFmtId="0" fontId="0" fillId="0" borderId="2" xfId="0" applyBorder="1" applyAlignment="1">
      <alignment horizontal="center" vertical="center" wrapText="1"/>
    </xf>
    <xf numFmtId="0" fontId="0" fillId="0" borderId="0" xfId="0" applyAlignment="1">
      <alignment wrapText="1"/>
    </xf>
    <xf numFmtId="0" fontId="0" fillId="0" borderId="0" xfId="0" applyAlignment="1">
      <alignment horizontal="center" vertical="center" wrapText="1"/>
    </xf>
    <xf numFmtId="0" fontId="3" fillId="0" borderId="0" xfId="0" applyFont="1" applyAlignment="1">
      <alignment horizontal="center" vertical="center" wrapText="1"/>
    </xf>
    <xf numFmtId="0" fontId="0" fillId="0" borderId="0" xfId="0" applyAlignment="1">
      <alignment horizontal="center" vertical="center"/>
    </xf>
    <xf numFmtId="0" fontId="3" fillId="0" borderId="0" xfId="0" applyFont="1"/>
    <xf numFmtId="0" fontId="0" fillId="0" borderId="1" xfId="0" applyBorder="1"/>
    <xf numFmtId="0" fontId="0" fillId="3" borderId="1" xfId="0" applyFill="1" applyBorder="1" applyAlignment="1">
      <alignment horizontal="left" vertical="top" wrapText="1"/>
    </xf>
    <xf numFmtId="0" fontId="0" fillId="3" borderId="1" xfId="0" applyFill="1" applyBorder="1" applyAlignment="1">
      <alignment vertical="top" wrapText="1"/>
    </xf>
    <xf numFmtId="0" fontId="0" fillId="0" borderId="1" xfId="0" applyBorder="1" applyAlignment="1">
      <alignment vertical="top" wrapText="1"/>
    </xf>
    <xf numFmtId="0" fontId="0" fillId="0" borderId="1" xfId="0" applyBorder="1" applyAlignment="1">
      <alignment horizontal="center" vertical="top" wrapText="1"/>
    </xf>
    <xf numFmtId="0" fontId="0" fillId="0" borderId="0" xfId="0" applyAlignment="1">
      <alignment vertical="top"/>
    </xf>
    <xf numFmtId="0" fontId="0" fillId="0" borderId="1" xfId="0" applyBorder="1" applyAlignment="1">
      <alignment vertical="center"/>
    </xf>
    <xf numFmtId="0" fontId="0" fillId="4" borderId="1" xfId="0" applyFill="1" applyBorder="1" applyAlignment="1">
      <alignment horizontal="center" vertical="center" wrapText="1"/>
    </xf>
    <xf numFmtId="0" fontId="0" fillId="3" borderId="1" xfId="0" applyFill="1" applyBorder="1" applyAlignment="1">
      <alignment horizontal="left" vertical="center"/>
    </xf>
    <xf numFmtId="0" fontId="0" fillId="3" borderId="1" xfId="0" applyFill="1" applyBorder="1" applyAlignment="1">
      <alignment horizontal="center" vertical="center"/>
    </xf>
    <xf numFmtId="0" fontId="0" fillId="0" borderId="0" xfId="0" applyAlignment="1">
      <alignment vertical="center"/>
    </xf>
    <xf numFmtId="0" fontId="0" fillId="3" borderId="1" xfId="0" applyFill="1" applyBorder="1" applyAlignment="1">
      <alignment horizontal="center" vertical="center" wrapText="1"/>
    </xf>
    <xf numFmtId="0" fontId="0" fillId="0" borderId="1" xfId="0" applyBorder="1" applyAlignment="1">
      <alignment vertical="center" wrapText="1"/>
    </xf>
    <xf numFmtId="0" fontId="0" fillId="3" borderId="1" xfId="0" applyFill="1" applyBorder="1" applyAlignment="1">
      <alignment vertical="center" wrapText="1"/>
    </xf>
    <xf numFmtId="0" fontId="3" fillId="0" borderId="2" xfId="0" applyFont="1" applyBorder="1" applyAlignment="1">
      <alignment horizontal="center" vertical="center" wrapText="1"/>
    </xf>
    <xf numFmtId="0" fontId="0" fillId="0" borderId="0" xfId="0" applyAlignment="1">
      <alignment vertical="top" wrapText="1"/>
    </xf>
  </cellXfs>
  <cellStyles count="1">
    <cellStyle name="Normal" xfId="0" builtinId="0"/>
  </cellStyles>
  <dxfs count="20">
    <dxf>
      <fill>
        <patternFill>
          <bgColor rgb="FFFFC000"/>
        </patternFill>
      </fill>
    </dxf>
    <dxf>
      <fill>
        <patternFill>
          <bgColor rgb="FFFFC000"/>
        </patternFill>
      </fill>
    </dxf>
    <dxf>
      <fill>
        <patternFill>
          <bgColor rgb="FFFFC000"/>
        </patternFill>
      </fill>
    </dxf>
    <dxf>
      <font>
        <b/>
      </font>
    </dxf>
    <dxf>
      <font>
        <b val="0"/>
      </font>
    </dxf>
    <dxf>
      <font>
        <b val="0"/>
      </font>
    </dxf>
    <dxf>
      <font>
        <b val="0"/>
      </font>
    </dxf>
    <dxf>
      <font>
        <b val="0"/>
      </font>
    </dxf>
    <dxf>
      <fill>
        <patternFill patternType="none">
          <bgColor auto="1"/>
        </patternFill>
      </fill>
    </dxf>
    <dxf>
      <font>
        <b val="0"/>
      </font>
    </dxf>
    <dxf>
      <fill>
        <patternFill patternType="solid">
          <bgColor rgb="FFFFFF00"/>
        </patternFill>
      </fill>
    </dxf>
    <dxf>
      <font>
        <b/>
      </font>
    </dxf>
    <dxf>
      <font>
        <b/>
      </font>
    </dxf>
    <dxf>
      <font>
        <b val="0"/>
      </font>
    </dxf>
    <dxf>
      <font>
        <b val="0"/>
      </font>
    </dxf>
    <dxf>
      <font>
        <b val="0"/>
      </font>
    </dxf>
    <dxf>
      <font>
        <b val="0"/>
      </font>
    </dxf>
    <dxf>
      <font>
        <b/>
      </font>
    </dxf>
    <dxf>
      <font>
        <b/>
      </font>
    </dxf>
    <dxf>
      <font>
        <b/>
      </font>
    </dxf>
  </dxfs>
  <tableStyles count="0" defaultTableStyle="TableStyleMedium2" defaultPivotStyle="PivotStyleLight16"/>
  <colors>
    <mruColors>
      <color rgb="FF56BB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10" Type="http://schemas.openxmlformats.org/officeDocument/2006/relationships/pivotCacheDefinition" Target="pivotCache/pivotCacheDefinition3.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[taggings.xlsx]EN article-descriptive!PivotTable2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'EN article-descriptive'!$B$1:$B$2</c:f>
              <c:strCache>
                <c:ptCount val="1"/>
                <c:pt idx="0">
                  <c:v>2024</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 article-descriptive'!$A$3</c:f>
              <c:strCache>
                <c:ptCount val="1"/>
                <c:pt idx="0">
                  <c:v>Total</c:v>
                </c:pt>
              </c:strCache>
            </c:strRef>
          </c:cat>
          <c:val>
            <c:numRef>
              <c:f>'EN article-descriptive'!$B$3</c:f>
              <c:numCache>
                <c:formatCode>General</c:formatCode>
                <c:ptCount val="1"/>
                <c:pt idx="0">
                  <c:v>25</c:v>
                </c:pt>
              </c:numCache>
            </c:numRef>
          </c:val>
          <c:extLst>
            <c:ext xmlns:c16="http://schemas.microsoft.com/office/drawing/2014/chart" uri="{C3380CC4-5D6E-409C-BE32-E72D297353CC}">
              <c16:uniqueId val="{00000015-DD88-4AB7-BC30-262545B3EEB4}"/>
            </c:ext>
          </c:extLst>
        </c:ser>
        <c:ser>
          <c:idx val="1"/>
          <c:order val="1"/>
          <c:tx>
            <c:strRef>
              <c:f>'EN article-descriptive'!$C$1:$C$2</c:f>
              <c:strCache>
                <c:ptCount val="1"/>
                <c:pt idx="0">
                  <c:v>2025</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 article-descriptive'!$A$3</c:f>
              <c:strCache>
                <c:ptCount val="1"/>
                <c:pt idx="0">
                  <c:v>Total</c:v>
                </c:pt>
              </c:strCache>
            </c:strRef>
          </c:cat>
          <c:val>
            <c:numRef>
              <c:f>'EN article-descriptive'!$C$3</c:f>
              <c:numCache>
                <c:formatCode>General</c:formatCode>
                <c:ptCount val="1"/>
                <c:pt idx="0">
                  <c:v>80</c:v>
                </c:pt>
              </c:numCache>
            </c:numRef>
          </c:val>
          <c:extLst>
            <c:ext xmlns:c16="http://schemas.microsoft.com/office/drawing/2014/chart" uri="{C3380CC4-5D6E-409C-BE32-E72D297353CC}">
              <c16:uniqueId val="{00000016-DD88-4AB7-BC30-262545B3EEB4}"/>
            </c:ext>
          </c:extLst>
        </c:ser>
        <c:ser>
          <c:idx val="2"/>
          <c:order val="2"/>
          <c:tx>
            <c:strRef>
              <c:f>'EN article-descriptive'!$D$1:$D$2</c:f>
              <c:strCache>
                <c:ptCount val="1"/>
                <c:pt idx="0">
                  <c:v>2026</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 article-descriptive'!$A$3</c:f>
              <c:strCache>
                <c:ptCount val="1"/>
                <c:pt idx="0">
                  <c:v>Total</c:v>
                </c:pt>
              </c:strCache>
            </c:strRef>
          </c:cat>
          <c:val>
            <c:numRef>
              <c:f>'EN article-descriptive'!$D$3</c:f>
              <c:numCache>
                <c:formatCode>General</c:formatCode>
                <c:ptCount val="1"/>
                <c:pt idx="0">
                  <c:v>28</c:v>
                </c:pt>
              </c:numCache>
            </c:numRef>
          </c:val>
          <c:extLst>
            <c:ext xmlns:c16="http://schemas.microsoft.com/office/drawing/2014/chart" uri="{C3380CC4-5D6E-409C-BE32-E72D297353CC}">
              <c16:uniqueId val="{00000017-DD88-4AB7-BC30-262545B3EEB4}"/>
            </c:ext>
          </c:extLst>
        </c:ser>
        <c:dLbls>
          <c:dLblPos val="outEnd"/>
          <c:showLegendKey val="0"/>
          <c:showVal val="1"/>
          <c:showCatName val="0"/>
          <c:showSerName val="0"/>
          <c:showPercent val="0"/>
          <c:showBubbleSize val="0"/>
        </c:dLbls>
        <c:gapWidth val="219"/>
        <c:overlap val="-27"/>
        <c:axId val="1375209135"/>
        <c:axId val="1393876495"/>
      </c:barChart>
      <c:catAx>
        <c:axId val="1375209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876495"/>
        <c:crosses val="autoZero"/>
        <c:auto val="1"/>
        <c:lblAlgn val="ctr"/>
        <c:lblOffset val="100"/>
        <c:noMultiLvlLbl val="0"/>
      </c:catAx>
      <c:valAx>
        <c:axId val="1393876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209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9081147352920455E-2"/>
          <c:y val="0.10229706527607479"/>
          <c:w val="0.85819984305409558"/>
          <c:h val="0.86736409088362265"/>
        </c:manualLayout>
      </c:layout>
      <c:bubbleChart>
        <c:varyColors val="1"/>
        <c:ser>
          <c:idx val="0"/>
          <c:order val="0"/>
          <c:spPr>
            <a:solidFill>
              <a:schemeClr val="bg2">
                <a:lumMod val="75000"/>
              </a:schemeClr>
            </a:solidFill>
            <a:ln>
              <a:noFill/>
            </a:ln>
            <a:effectLst>
              <a:glow rad="63500">
                <a:schemeClr val="accent3">
                  <a:satMod val="175000"/>
                  <a:alpha val="37000"/>
                </a:schemeClr>
              </a:glow>
              <a:innerShdw blurRad="139700">
                <a:prstClr val="black">
                  <a:alpha val="42000"/>
                </a:prstClr>
              </a:innerShdw>
              <a:softEdge rad="25400"/>
            </a:effectLst>
          </c:spPr>
          <c:invertIfNegative val="0"/>
          <c:dPt>
            <c:idx val="0"/>
            <c:invertIfNegative val="0"/>
            <c:bubble3D val="0"/>
            <c:spPr>
              <a:solidFill>
                <a:schemeClr val="bg2">
                  <a:lumMod val="75000"/>
                </a:schemeClr>
              </a:solidFill>
              <a:ln>
                <a:noFill/>
              </a:ln>
              <a:effectLst>
                <a:glow rad="63500">
                  <a:schemeClr val="accent3">
                    <a:satMod val="175000"/>
                    <a:alpha val="37000"/>
                  </a:schemeClr>
                </a:glow>
                <a:innerShdw blurRad="139700">
                  <a:prstClr val="black">
                    <a:alpha val="42000"/>
                  </a:prstClr>
                </a:innerShdw>
                <a:softEdge rad="25400"/>
              </a:effectLst>
            </c:spPr>
            <c:extLst>
              <c:ext xmlns:c16="http://schemas.microsoft.com/office/drawing/2014/chart" uri="{C3380CC4-5D6E-409C-BE32-E72D297353CC}">
                <c16:uniqueId val="{00000001-DD42-4A6A-85F2-898B8D3DDC35}"/>
              </c:ext>
            </c:extLst>
          </c:dPt>
          <c:dPt>
            <c:idx val="1"/>
            <c:invertIfNegative val="0"/>
            <c:bubble3D val="0"/>
            <c:spPr>
              <a:solidFill>
                <a:schemeClr val="bg2">
                  <a:lumMod val="75000"/>
                </a:schemeClr>
              </a:solidFill>
              <a:ln>
                <a:noFill/>
              </a:ln>
              <a:effectLst>
                <a:glow rad="63500">
                  <a:schemeClr val="accent3">
                    <a:satMod val="175000"/>
                    <a:alpha val="37000"/>
                  </a:schemeClr>
                </a:glow>
                <a:innerShdw blurRad="139700">
                  <a:prstClr val="black">
                    <a:alpha val="42000"/>
                  </a:prstClr>
                </a:innerShdw>
                <a:softEdge rad="25400"/>
              </a:effectLst>
            </c:spPr>
            <c:extLst>
              <c:ext xmlns:c16="http://schemas.microsoft.com/office/drawing/2014/chart" uri="{C3380CC4-5D6E-409C-BE32-E72D297353CC}">
                <c16:uniqueId val="{00000003-DD42-4A6A-85F2-898B8D3DDC35}"/>
              </c:ext>
            </c:extLst>
          </c:dPt>
          <c:dPt>
            <c:idx val="2"/>
            <c:invertIfNegative val="0"/>
            <c:bubble3D val="0"/>
            <c:spPr>
              <a:solidFill>
                <a:schemeClr val="bg2">
                  <a:lumMod val="75000"/>
                </a:schemeClr>
              </a:solidFill>
              <a:ln>
                <a:noFill/>
              </a:ln>
              <a:effectLst>
                <a:glow rad="63500">
                  <a:schemeClr val="accent3">
                    <a:satMod val="175000"/>
                    <a:alpha val="37000"/>
                  </a:schemeClr>
                </a:glow>
                <a:innerShdw blurRad="139700">
                  <a:prstClr val="black">
                    <a:alpha val="42000"/>
                  </a:prstClr>
                </a:innerShdw>
                <a:softEdge rad="25400"/>
              </a:effectLst>
            </c:spPr>
            <c:extLst>
              <c:ext xmlns:c16="http://schemas.microsoft.com/office/drawing/2014/chart" uri="{C3380CC4-5D6E-409C-BE32-E72D297353CC}">
                <c16:uniqueId val="{00000005-DD42-4A6A-85F2-898B8D3DDC35}"/>
              </c:ext>
            </c:extLst>
          </c:dPt>
          <c:dPt>
            <c:idx val="3"/>
            <c:invertIfNegative val="0"/>
            <c:bubble3D val="0"/>
            <c:spPr>
              <a:solidFill>
                <a:schemeClr val="bg2">
                  <a:lumMod val="75000"/>
                </a:schemeClr>
              </a:solidFill>
              <a:ln>
                <a:noFill/>
              </a:ln>
              <a:effectLst>
                <a:glow rad="63500">
                  <a:schemeClr val="accent3">
                    <a:satMod val="175000"/>
                    <a:alpha val="37000"/>
                  </a:schemeClr>
                </a:glow>
                <a:innerShdw blurRad="139700">
                  <a:prstClr val="black">
                    <a:alpha val="42000"/>
                  </a:prstClr>
                </a:innerShdw>
                <a:softEdge rad="25400"/>
              </a:effectLst>
            </c:spPr>
            <c:extLst>
              <c:ext xmlns:c16="http://schemas.microsoft.com/office/drawing/2014/chart" uri="{C3380CC4-5D6E-409C-BE32-E72D297353CC}">
                <c16:uniqueId val="{00000007-DD42-4A6A-85F2-898B8D3DDC35}"/>
              </c:ext>
            </c:extLst>
          </c:dPt>
          <c:dPt>
            <c:idx val="4"/>
            <c:invertIfNegative val="0"/>
            <c:bubble3D val="0"/>
            <c:spPr>
              <a:solidFill>
                <a:schemeClr val="bg2">
                  <a:lumMod val="75000"/>
                </a:schemeClr>
              </a:solidFill>
              <a:ln>
                <a:noFill/>
              </a:ln>
              <a:effectLst>
                <a:glow rad="63500">
                  <a:schemeClr val="accent3">
                    <a:satMod val="175000"/>
                    <a:alpha val="37000"/>
                  </a:schemeClr>
                </a:glow>
                <a:innerShdw blurRad="139700">
                  <a:prstClr val="black">
                    <a:alpha val="42000"/>
                  </a:prstClr>
                </a:innerShdw>
                <a:softEdge rad="25400"/>
              </a:effectLst>
            </c:spPr>
            <c:extLst>
              <c:ext xmlns:c16="http://schemas.microsoft.com/office/drawing/2014/chart" uri="{C3380CC4-5D6E-409C-BE32-E72D297353CC}">
                <c16:uniqueId val="{00000009-DD42-4A6A-85F2-898B8D3DDC35}"/>
              </c:ext>
            </c:extLst>
          </c:dPt>
          <c:dPt>
            <c:idx val="5"/>
            <c:invertIfNegative val="0"/>
            <c:bubble3D val="0"/>
            <c:spPr>
              <a:solidFill>
                <a:schemeClr val="bg2">
                  <a:lumMod val="75000"/>
                </a:schemeClr>
              </a:solidFill>
              <a:ln>
                <a:noFill/>
              </a:ln>
              <a:effectLst>
                <a:glow rad="63500">
                  <a:schemeClr val="accent3">
                    <a:satMod val="175000"/>
                    <a:alpha val="37000"/>
                  </a:schemeClr>
                </a:glow>
                <a:innerShdw blurRad="139700">
                  <a:prstClr val="black">
                    <a:alpha val="42000"/>
                  </a:prstClr>
                </a:innerShdw>
                <a:softEdge rad="25400"/>
              </a:effectLst>
            </c:spPr>
            <c:extLst>
              <c:ext xmlns:c16="http://schemas.microsoft.com/office/drawing/2014/chart" uri="{C3380CC4-5D6E-409C-BE32-E72D297353CC}">
                <c16:uniqueId val="{0000000B-DD42-4A6A-85F2-898B8D3DDC35}"/>
              </c:ext>
            </c:extLst>
          </c:dPt>
          <c:dPt>
            <c:idx val="6"/>
            <c:invertIfNegative val="0"/>
            <c:bubble3D val="0"/>
            <c:spPr>
              <a:solidFill>
                <a:schemeClr val="bg2">
                  <a:lumMod val="75000"/>
                </a:schemeClr>
              </a:solidFill>
              <a:ln>
                <a:noFill/>
              </a:ln>
              <a:effectLst>
                <a:glow rad="63500">
                  <a:schemeClr val="accent3">
                    <a:satMod val="175000"/>
                    <a:alpha val="37000"/>
                  </a:schemeClr>
                </a:glow>
                <a:innerShdw blurRad="139700">
                  <a:prstClr val="black">
                    <a:alpha val="42000"/>
                  </a:prstClr>
                </a:innerShdw>
                <a:softEdge rad="25400"/>
              </a:effectLst>
            </c:spPr>
            <c:extLst>
              <c:ext xmlns:c16="http://schemas.microsoft.com/office/drawing/2014/chart" uri="{C3380CC4-5D6E-409C-BE32-E72D297353CC}">
                <c16:uniqueId val="{0000000D-DD42-4A6A-85F2-898B8D3DDC35}"/>
              </c:ext>
            </c:extLst>
          </c:dPt>
          <c:dPt>
            <c:idx val="7"/>
            <c:invertIfNegative val="0"/>
            <c:bubble3D val="0"/>
            <c:spPr>
              <a:solidFill>
                <a:schemeClr val="bg2">
                  <a:lumMod val="75000"/>
                </a:schemeClr>
              </a:solidFill>
              <a:ln>
                <a:noFill/>
              </a:ln>
              <a:effectLst>
                <a:glow rad="63500">
                  <a:schemeClr val="accent3">
                    <a:satMod val="175000"/>
                    <a:alpha val="37000"/>
                  </a:schemeClr>
                </a:glow>
                <a:innerShdw blurRad="139700">
                  <a:prstClr val="black">
                    <a:alpha val="42000"/>
                  </a:prstClr>
                </a:innerShdw>
                <a:softEdge rad="25400"/>
              </a:effectLst>
            </c:spPr>
            <c:extLst>
              <c:ext xmlns:c16="http://schemas.microsoft.com/office/drawing/2014/chart" uri="{C3380CC4-5D6E-409C-BE32-E72D297353CC}">
                <c16:uniqueId val="{0000000F-DD42-4A6A-85F2-898B8D3DDC35}"/>
              </c:ext>
            </c:extLst>
          </c:dPt>
          <c:dPt>
            <c:idx val="8"/>
            <c:invertIfNegative val="0"/>
            <c:bubble3D val="0"/>
            <c:spPr>
              <a:solidFill>
                <a:schemeClr val="bg2">
                  <a:lumMod val="75000"/>
                </a:schemeClr>
              </a:solidFill>
              <a:ln>
                <a:noFill/>
              </a:ln>
              <a:effectLst>
                <a:glow rad="63500">
                  <a:schemeClr val="accent3">
                    <a:satMod val="175000"/>
                    <a:alpha val="37000"/>
                  </a:schemeClr>
                </a:glow>
                <a:innerShdw blurRad="139700">
                  <a:prstClr val="black">
                    <a:alpha val="42000"/>
                  </a:prstClr>
                </a:innerShdw>
                <a:softEdge rad="25400"/>
              </a:effectLst>
            </c:spPr>
            <c:extLst>
              <c:ext xmlns:c16="http://schemas.microsoft.com/office/drawing/2014/chart" uri="{C3380CC4-5D6E-409C-BE32-E72D297353CC}">
                <c16:uniqueId val="{00000011-DD42-4A6A-85F2-898B8D3DDC35}"/>
              </c:ext>
            </c:extLst>
          </c:dPt>
          <c:dPt>
            <c:idx val="9"/>
            <c:invertIfNegative val="0"/>
            <c:bubble3D val="0"/>
            <c:spPr>
              <a:solidFill>
                <a:schemeClr val="bg2">
                  <a:lumMod val="75000"/>
                </a:schemeClr>
              </a:solidFill>
              <a:ln>
                <a:noFill/>
              </a:ln>
              <a:effectLst>
                <a:glow rad="63500">
                  <a:schemeClr val="accent3">
                    <a:satMod val="175000"/>
                    <a:alpha val="37000"/>
                  </a:schemeClr>
                </a:glow>
                <a:innerShdw blurRad="139700">
                  <a:prstClr val="black">
                    <a:alpha val="42000"/>
                  </a:prstClr>
                </a:innerShdw>
                <a:softEdge rad="25400"/>
              </a:effectLst>
            </c:spPr>
            <c:extLst>
              <c:ext xmlns:c16="http://schemas.microsoft.com/office/drawing/2014/chart" uri="{C3380CC4-5D6E-409C-BE32-E72D297353CC}">
                <c16:uniqueId val="{00000013-DD42-4A6A-85F2-898B8D3DDC35}"/>
              </c:ext>
            </c:extLst>
          </c:dPt>
          <c:dPt>
            <c:idx val="10"/>
            <c:invertIfNegative val="0"/>
            <c:bubble3D val="0"/>
            <c:spPr>
              <a:solidFill>
                <a:schemeClr val="bg2">
                  <a:lumMod val="75000"/>
                </a:schemeClr>
              </a:solidFill>
              <a:ln>
                <a:noFill/>
              </a:ln>
              <a:effectLst>
                <a:glow rad="63500">
                  <a:schemeClr val="accent3">
                    <a:satMod val="175000"/>
                    <a:alpha val="37000"/>
                  </a:schemeClr>
                </a:glow>
                <a:innerShdw blurRad="139700">
                  <a:prstClr val="black">
                    <a:alpha val="42000"/>
                  </a:prstClr>
                </a:innerShdw>
                <a:softEdge rad="25400"/>
              </a:effectLst>
            </c:spPr>
            <c:extLst>
              <c:ext xmlns:c16="http://schemas.microsoft.com/office/drawing/2014/chart" uri="{C3380CC4-5D6E-409C-BE32-E72D297353CC}">
                <c16:uniqueId val="{00000015-DD42-4A6A-85F2-898B8D3DDC35}"/>
              </c:ext>
            </c:extLst>
          </c:dPt>
          <c:dPt>
            <c:idx val="11"/>
            <c:invertIfNegative val="0"/>
            <c:bubble3D val="0"/>
            <c:spPr>
              <a:solidFill>
                <a:schemeClr val="bg2">
                  <a:lumMod val="75000"/>
                </a:schemeClr>
              </a:solidFill>
              <a:ln>
                <a:noFill/>
              </a:ln>
              <a:effectLst>
                <a:glow rad="63500">
                  <a:schemeClr val="accent3">
                    <a:satMod val="175000"/>
                    <a:alpha val="37000"/>
                  </a:schemeClr>
                </a:glow>
                <a:innerShdw blurRad="139700">
                  <a:prstClr val="black">
                    <a:alpha val="42000"/>
                  </a:prstClr>
                </a:innerShdw>
                <a:softEdge rad="25400"/>
              </a:effectLst>
            </c:spPr>
            <c:extLst>
              <c:ext xmlns:c16="http://schemas.microsoft.com/office/drawing/2014/chart" uri="{C3380CC4-5D6E-409C-BE32-E72D297353CC}">
                <c16:uniqueId val="{00000017-DD42-4A6A-85F2-898B8D3DDC35}"/>
              </c:ext>
            </c:extLst>
          </c:dPt>
          <c:dPt>
            <c:idx val="12"/>
            <c:invertIfNegative val="0"/>
            <c:bubble3D val="0"/>
            <c:spPr>
              <a:solidFill>
                <a:schemeClr val="bg2">
                  <a:lumMod val="75000"/>
                </a:schemeClr>
              </a:solidFill>
              <a:ln>
                <a:noFill/>
              </a:ln>
              <a:effectLst>
                <a:glow rad="63500">
                  <a:schemeClr val="accent3">
                    <a:satMod val="175000"/>
                    <a:alpha val="37000"/>
                  </a:schemeClr>
                </a:glow>
                <a:innerShdw blurRad="139700">
                  <a:prstClr val="black">
                    <a:alpha val="42000"/>
                  </a:prstClr>
                </a:innerShdw>
                <a:softEdge rad="25400"/>
              </a:effectLst>
            </c:spPr>
            <c:extLst>
              <c:ext xmlns:c16="http://schemas.microsoft.com/office/drawing/2014/chart" uri="{C3380CC4-5D6E-409C-BE32-E72D297353CC}">
                <c16:uniqueId val="{00000019-DD42-4A6A-85F2-898B8D3DDC35}"/>
              </c:ext>
            </c:extLst>
          </c:dPt>
          <c:dPt>
            <c:idx val="13"/>
            <c:invertIfNegative val="0"/>
            <c:bubble3D val="0"/>
            <c:spPr>
              <a:solidFill>
                <a:schemeClr val="bg2">
                  <a:lumMod val="75000"/>
                </a:schemeClr>
              </a:solidFill>
              <a:ln>
                <a:noFill/>
              </a:ln>
              <a:effectLst>
                <a:glow rad="63500">
                  <a:schemeClr val="accent3">
                    <a:satMod val="175000"/>
                    <a:alpha val="37000"/>
                  </a:schemeClr>
                </a:glow>
                <a:innerShdw blurRad="139700">
                  <a:prstClr val="black">
                    <a:alpha val="42000"/>
                  </a:prstClr>
                </a:innerShdw>
                <a:softEdge rad="25400"/>
              </a:effectLst>
            </c:spPr>
            <c:extLst>
              <c:ext xmlns:c16="http://schemas.microsoft.com/office/drawing/2014/chart" uri="{C3380CC4-5D6E-409C-BE32-E72D297353CC}">
                <c16:uniqueId val="{0000001B-DD42-4A6A-85F2-898B8D3DDC35}"/>
              </c:ext>
            </c:extLst>
          </c:dPt>
          <c:dPt>
            <c:idx val="14"/>
            <c:invertIfNegative val="0"/>
            <c:bubble3D val="0"/>
            <c:spPr>
              <a:solidFill>
                <a:schemeClr val="bg2">
                  <a:lumMod val="75000"/>
                </a:schemeClr>
              </a:solidFill>
              <a:ln>
                <a:noFill/>
              </a:ln>
              <a:effectLst>
                <a:glow rad="63500">
                  <a:schemeClr val="accent3">
                    <a:satMod val="175000"/>
                    <a:alpha val="37000"/>
                  </a:schemeClr>
                </a:glow>
                <a:innerShdw blurRad="139700">
                  <a:prstClr val="black">
                    <a:alpha val="42000"/>
                  </a:prstClr>
                </a:innerShdw>
                <a:softEdge rad="25400"/>
              </a:effectLst>
            </c:spPr>
            <c:extLst>
              <c:ext xmlns:c16="http://schemas.microsoft.com/office/drawing/2014/chart" uri="{C3380CC4-5D6E-409C-BE32-E72D297353CC}">
                <c16:uniqueId val="{0000001D-5913-47AC-B08E-7BDA1FADB2B9}"/>
              </c:ext>
            </c:extLst>
          </c:dPt>
          <c:dPt>
            <c:idx val="15"/>
            <c:invertIfNegative val="0"/>
            <c:bubble3D val="0"/>
            <c:spPr>
              <a:solidFill>
                <a:schemeClr val="bg2">
                  <a:lumMod val="75000"/>
                </a:schemeClr>
              </a:solidFill>
              <a:ln>
                <a:noFill/>
              </a:ln>
              <a:effectLst>
                <a:glow rad="63500">
                  <a:schemeClr val="accent3">
                    <a:satMod val="175000"/>
                    <a:alpha val="37000"/>
                  </a:schemeClr>
                </a:glow>
                <a:innerShdw blurRad="139700">
                  <a:prstClr val="black">
                    <a:alpha val="42000"/>
                  </a:prstClr>
                </a:innerShdw>
                <a:softEdge rad="25400"/>
              </a:effectLst>
            </c:spPr>
            <c:extLst>
              <c:ext xmlns:c16="http://schemas.microsoft.com/office/drawing/2014/chart" uri="{C3380CC4-5D6E-409C-BE32-E72D297353CC}">
                <c16:uniqueId val="{0000001F-5913-47AC-B08E-7BDA1FADB2B9}"/>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framework!$D$2:$D$17</c:f>
              <c:numCache>
                <c:formatCode>General</c:formatCode>
                <c:ptCount val="16"/>
                <c:pt idx="0">
                  <c:v>1</c:v>
                </c:pt>
                <c:pt idx="1">
                  <c:v>1</c:v>
                </c:pt>
                <c:pt idx="2">
                  <c:v>2</c:v>
                </c:pt>
                <c:pt idx="3">
                  <c:v>2</c:v>
                </c:pt>
                <c:pt idx="4">
                  <c:v>1</c:v>
                </c:pt>
                <c:pt idx="5">
                  <c:v>1</c:v>
                </c:pt>
                <c:pt idx="6">
                  <c:v>1</c:v>
                </c:pt>
                <c:pt idx="7">
                  <c:v>1</c:v>
                </c:pt>
                <c:pt idx="8">
                  <c:v>3</c:v>
                </c:pt>
                <c:pt idx="9">
                  <c:v>3</c:v>
                </c:pt>
                <c:pt idx="10">
                  <c:v>2</c:v>
                </c:pt>
                <c:pt idx="11">
                  <c:v>1</c:v>
                </c:pt>
                <c:pt idx="12">
                  <c:v>3</c:v>
                </c:pt>
                <c:pt idx="13">
                  <c:v>2</c:v>
                </c:pt>
                <c:pt idx="14">
                  <c:v>3</c:v>
                </c:pt>
                <c:pt idx="15">
                  <c:v>2</c:v>
                </c:pt>
              </c:numCache>
            </c:numRef>
          </c:xVal>
          <c:yVal>
            <c:numRef>
              <c:f>framework!$E$2:$E$17</c:f>
              <c:numCache>
                <c:formatCode>General</c:formatCode>
                <c:ptCount val="16"/>
                <c:pt idx="0">
                  <c:v>4</c:v>
                </c:pt>
                <c:pt idx="1">
                  <c:v>3</c:v>
                </c:pt>
                <c:pt idx="2">
                  <c:v>5</c:v>
                </c:pt>
                <c:pt idx="3">
                  <c:v>3</c:v>
                </c:pt>
                <c:pt idx="4">
                  <c:v>8</c:v>
                </c:pt>
                <c:pt idx="5">
                  <c:v>7</c:v>
                </c:pt>
                <c:pt idx="6">
                  <c:v>5</c:v>
                </c:pt>
                <c:pt idx="7">
                  <c:v>6</c:v>
                </c:pt>
                <c:pt idx="8">
                  <c:v>5</c:v>
                </c:pt>
                <c:pt idx="9">
                  <c:v>3</c:v>
                </c:pt>
                <c:pt idx="10">
                  <c:v>6</c:v>
                </c:pt>
                <c:pt idx="11">
                  <c:v>2</c:v>
                </c:pt>
                <c:pt idx="12">
                  <c:v>1</c:v>
                </c:pt>
                <c:pt idx="13">
                  <c:v>4</c:v>
                </c:pt>
                <c:pt idx="14">
                  <c:v>4</c:v>
                </c:pt>
                <c:pt idx="15">
                  <c:v>7</c:v>
                </c:pt>
              </c:numCache>
            </c:numRef>
          </c:yVal>
          <c:bubbleSize>
            <c:numRef>
              <c:f>framework!$F$2:$F$17</c:f>
              <c:numCache>
                <c:formatCode>General</c:formatCode>
                <c:ptCount val="16"/>
                <c:pt idx="0">
                  <c:v>54</c:v>
                </c:pt>
                <c:pt idx="1">
                  <c:v>10</c:v>
                </c:pt>
                <c:pt idx="2">
                  <c:v>33</c:v>
                </c:pt>
                <c:pt idx="3">
                  <c:v>2</c:v>
                </c:pt>
                <c:pt idx="4">
                  <c:v>1</c:v>
                </c:pt>
                <c:pt idx="5">
                  <c:v>1</c:v>
                </c:pt>
                <c:pt idx="6">
                  <c:v>11</c:v>
                </c:pt>
                <c:pt idx="7">
                  <c:v>5</c:v>
                </c:pt>
                <c:pt idx="8">
                  <c:v>3</c:v>
                </c:pt>
                <c:pt idx="9">
                  <c:v>1</c:v>
                </c:pt>
                <c:pt idx="10">
                  <c:v>4</c:v>
                </c:pt>
                <c:pt idx="11">
                  <c:v>1</c:v>
                </c:pt>
                <c:pt idx="12">
                  <c:v>1</c:v>
                </c:pt>
                <c:pt idx="13">
                  <c:v>4</c:v>
                </c:pt>
                <c:pt idx="14">
                  <c:v>1</c:v>
                </c:pt>
                <c:pt idx="15">
                  <c:v>1</c:v>
                </c:pt>
              </c:numCache>
            </c:numRef>
          </c:bubbleSize>
          <c:bubble3D val="0"/>
          <c:extLst>
            <c:ext xmlns:c16="http://schemas.microsoft.com/office/drawing/2014/chart" uri="{C3380CC4-5D6E-409C-BE32-E72D297353CC}">
              <c16:uniqueId val="{00000009-89E1-493C-9629-5A17AF5246F7}"/>
            </c:ext>
          </c:extLst>
        </c:ser>
        <c:dLbls>
          <c:showLegendKey val="0"/>
          <c:showVal val="0"/>
          <c:showCatName val="0"/>
          <c:showSerName val="0"/>
          <c:showPercent val="0"/>
          <c:showBubbleSize val="0"/>
        </c:dLbls>
        <c:bubbleScale val="100"/>
        <c:showNegBubbles val="0"/>
        <c:axId val="2007600927"/>
        <c:axId val="2007605727"/>
      </c:bubbleChart>
      <c:valAx>
        <c:axId val="2007600927"/>
        <c:scaling>
          <c:orientation val="minMax"/>
          <c:max val="4"/>
        </c:scaling>
        <c:delete val="1"/>
        <c:axPos val="b"/>
        <c:majorGridlines>
          <c:spPr>
            <a:ln w="9525" cap="flat" cmpd="sng" algn="ctr">
              <a:noFill/>
              <a:round/>
            </a:ln>
            <a:effectLst/>
          </c:spPr>
        </c:majorGridlines>
        <c:numFmt formatCode="General" sourceLinked="1"/>
        <c:majorTickMark val="none"/>
        <c:minorTickMark val="none"/>
        <c:tickLblPos val="nextTo"/>
        <c:crossAx val="2007605727"/>
        <c:crosses val="autoZero"/>
        <c:crossBetween val="midCat"/>
        <c:majorUnit val="1"/>
      </c:valAx>
      <c:valAx>
        <c:axId val="2007605727"/>
        <c:scaling>
          <c:orientation val="minMax"/>
          <c:min val="0"/>
        </c:scaling>
        <c:delete val="0"/>
        <c:axPos val="l"/>
        <c:majorGridlines>
          <c:spPr>
            <a:ln w="9525" cap="flat" cmpd="sng" algn="ctr">
              <a:no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60092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[taggings.xlsx]framework!PivotTable5</c:name>
    <c:fmtId val="1"/>
  </c:pivotSource>
  <c:chart>
    <c:autoTitleDeleted val="1"/>
    <c:pivotFmts>
      <c:pivotFmt>
        <c:idx val="0"/>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framework!$L$45</c:f>
              <c:strCache>
                <c:ptCount val="1"/>
                <c:pt idx="0">
                  <c:v>Total</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framework!$K$46:$K$55</c:f>
              <c:strCache>
                <c:ptCount val="9"/>
                <c:pt idx="0">
                  <c:v>1</c:v>
                </c:pt>
                <c:pt idx="1">
                  <c:v>2</c:v>
                </c:pt>
                <c:pt idx="2">
                  <c:v>3</c:v>
                </c:pt>
                <c:pt idx="3">
                  <c:v>4</c:v>
                </c:pt>
                <c:pt idx="4">
                  <c:v>5</c:v>
                </c:pt>
                <c:pt idx="5">
                  <c:v>6</c:v>
                </c:pt>
                <c:pt idx="6">
                  <c:v>7</c:v>
                </c:pt>
                <c:pt idx="7">
                  <c:v>8</c:v>
                </c:pt>
                <c:pt idx="8">
                  <c:v>(blank)</c:v>
                </c:pt>
              </c:strCache>
            </c:strRef>
          </c:cat>
          <c:val>
            <c:numRef>
              <c:f>framework!$L$46:$L$55</c:f>
              <c:numCache>
                <c:formatCode>General</c:formatCode>
                <c:ptCount val="9"/>
                <c:pt idx="0">
                  <c:v>1</c:v>
                </c:pt>
                <c:pt idx="1">
                  <c:v>1</c:v>
                </c:pt>
                <c:pt idx="2">
                  <c:v>13</c:v>
                </c:pt>
                <c:pt idx="3">
                  <c:v>59</c:v>
                </c:pt>
                <c:pt idx="4">
                  <c:v>47</c:v>
                </c:pt>
                <c:pt idx="5">
                  <c:v>9</c:v>
                </c:pt>
                <c:pt idx="6">
                  <c:v>2</c:v>
                </c:pt>
                <c:pt idx="7">
                  <c:v>1</c:v>
                </c:pt>
              </c:numCache>
            </c:numRef>
          </c:val>
          <c:extLst>
            <c:ext xmlns:c16="http://schemas.microsoft.com/office/drawing/2014/chart" uri="{C3380CC4-5D6E-409C-BE32-E72D297353CC}">
              <c16:uniqueId val="{00000000-1FE1-479A-8416-C57048779375}"/>
            </c:ext>
          </c:extLst>
        </c:ser>
        <c:dLbls>
          <c:dLblPos val="inBase"/>
          <c:showLegendKey val="0"/>
          <c:showVal val="1"/>
          <c:showCatName val="0"/>
          <c:showSerName val="0"/>
          <c:showPercent val="0"/>
          <c:showBubbleSize val="0"/>
        </c:dLbls>
        <c:gapWidth val="182"/>
        <c:axId val="154540159"/>
        <c:axId val="277630431"/>
      </c:barChart>
      <c:catAx>
        <c:axId val="154540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277630431"/>
        <c:crosses val="autoZero"/>
        <c:auto val="1"/>
        <c:lblAlgn val="ctr"/>
        <c:lblOffset val="100"/>
        <c:noMultiLvlLbl val="0"/>
      </c:catAx>
      <c:valAx>
        <c:axId val="277630431"/>
        <c:scaling>
          <c:orientation val="minMax"/>
        </c:scaling>
        <c:delete val="1"/>
        <c:axPos val="b"/>
        <c:numFmt formatCode="General" sourceLinked="1"/>
        <c:majorTickMark val="none"/>
        <c:minorTickMark val="none"/>
        <c:tickLblPos val="nextTo"/>
        <c:crossAx val="154540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[taggings.xlsx]MGT article-descriptive !PivotTable2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'MGT article-descriptive '!$B$1:$B$2</c:f>
              <c:strCache>
                <c:ptCount val="1"/>
                <c:pt idx="0">
                  <c:v>2023</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'MGT article-descriptive '!$A$3</c:f>
              <c:strCache>
                <c:ptCount val="1"/>
                <c:pt idx="0">
                  <c:v>Total</c:v>
                </c:pt>
              </c:strCache>
            </c:strRef>
          </c:cat>
          <c:val>
            <c:numRef>
              <c:f>'MGT article-descriptive '!$B$3</c:f>
              <c:numCache>
                <c:formatCode>General</c:formatCode>
                <c:ptCount val="1"/>
                <c:pt idx="0">
                  <c:v>3</c:v>
                </c:pt>
              </c:numCache>
            </c:numRef>
          </c:val>
          <c:extLst>
            <c:ext xmlns:c16="http://schemas.microsoft.com/office/drawing/2014/chart" uri="{C3380CC4-5D6E-409C-BE32-E72D297353CC}">
              <c16:uniqueId val="{00000000-E9D0-496C-9D09-83136E85D0D3}"/>
            </c:ext>
          </c:extLst>
        </c:ser>
        <c:ser>
          <c:idx val="1"/>
          <c:order val="1"/>
          <c:tx>
            <c:strRef>
              <c:f>'MGT article-descriptive '!$C$1:$C$2</c:f>
              <c:strCache>
                <c:ptCount val="1"/>
                <c:pt idx="0">
                  <c:v>2024</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'MGT article-descriptive '!$A$3</c:f>
              <c:strCache>
                <c:ptCount val="1"/>
                <c:pt idx="0">
                  <c:v>Total</c:v>
                </c:pt>
              </c:strCache>
            </c:strRef>
          </c:cat>
          <c:val>
            <c:numRef>
              <c:f>'MGT article-descriptive '!$C$3</c:f>
              <c:numCache>
                <c:formatCode>General</c:formatCode>
                <c:ptCount val="1"/>
                <c:pt idx="0">
                  <c:v>9</c:v>
                </c:pt>
              </c:numCache>
            </c:numRef>
          </c:val>
          <c:extLst>
            <c:ext xmlns:c16="http://schemas.microsoft.com/office/drawing/2014/chart" uri="{C3380CC4-5D6E-409C-BE32-E72D297353CC}">
              <c16:uniqueId val="{00000001-E9D0-496C-9D09-83136E85D0D3}"/>
            </c:ext>
          </c:extLst>
        </c:ser>
        <c:ser>
          <c:idx val="2"/>
          <c:order val="2"/>
          <c:tx>
            <c:strRef>
              <c:f>'MGT article-descriptive '!$D$1:$D$2</c:f>
              <c:strCache>
                <c:ptCount val="1"/>
                <c:pt idx="0">
                  <c:v>2025</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'MGT article-descriptive '!$A$3</c:f>
              <c:strCache>
                <c:ptCount val="1"/>
                <c:pt idx="0">
                  <c:v>Total</c:v>
                </c:pt>
              </c:strCache>
            </c:strRef>
          </c:cat>
          <c:val>
            <c:numRef>
              <c:f>'MGT article-descriptive '!$D$3</c:f>
              <c:numCache>
                <c:formatCode>General</c:formatCode>
                <c:ptCount val="1"/>
                <c:pt idx="0">
                  <c:v>22</c:v>
                </c:pt>
              </c:numCache>
            </c:numRef>
          </c:val>
          <c:extLst>
            <c:ext xmlns:c16="http://schemas.microsoft.com/office/drawing/2014/chart" uri="{C3380CC4-5D6E-409C-BE32-E72D297353CC}">
              <c16:uniqueId val="{00000002-E9D0-496C-9D09-83136E85D0D3}"/>
            </c:ext>
          </c:extLst>
        </c:ser>
        <c:ser>
          <c:idx val="3"/>
          <c:order val="3"/>
          <c:tx>
            <c:strRef>
              <c:f>'MGT article-descriptive '!$E$1:$E$2</c:f>
              <c:strCache>
                <c:ptCount val="1"/>
                <c:pt idx="0">
                  <c:v>2026</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'MGT article-descriptive '!$A$3</c:f>
              <c:strCache>
                <c:ptCount val="1"/>
                <c:pt idx="0">
                  <c:v>Total</c:v>
                </c:pt>
              </c:strCache>
            </c:strRef>
          </c:cat>
          <c:val>
            <c:numRef>
              <c:f>'MGT article-descriptive '!$E$3</c:f>
              <c:numCache>
                <c:formatCode>General</c:formatCode>
                <c:ptCount val="1"/>
                <c:pt idx="0">
                  <c:v>1</c:v>
                </c:pt>
              </c:numCache>
            </c:numRef>
          </c:val>
          <c:extLst>
            <c:ext xmlns:c16="http://schemas.microsoft.com/office/drawing/2014/chart" uri="{C3380CC4-5D6E-409C-BE32-E72D297353CC}">
              <c16:uniqueId val="{00000000-E6F9-4E67-9CEA-7834CBDD8E25}"/>
            </c:ext>
          </c:extLst>
        </c:ser>
        <c:dLbls>
          <c:dLblPos val="outEnd"/>
          <c:showLegendKey val="0"/>
          <c:showVal val="1"/>
          <c:showCatName val="0"/>
          <c:showSerName val="0"/>
          <c:showPercent val="0"/>
          <c:showBubbleSize val="0"/>
        </c:dLbls>
        <c:gapWidth val="219"/>
        <c:overlap val="-27"/>
        <c:axId val="1375209135"/>
        <c:axId val="1393876495"/>
      </c:barChart>
      <c:catAx>
        <c:axId val="1375209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876495"/>
        <c:crosses val="autoZero"/>
        <c:auto val="1"/>
        <c:lblAlgn val="ctr"/>
        <c:lblOffset val="100"/>
        <c:noMultiLvlLbl val="0"/>
      </c:catAx>
      <c:valAx>
        <c:axId val="1393876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209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plotArea>
      <cx:plotAreaRegion>
        <cx:series layoutId="clusteredColumn" uniqueId="{EAA6C4B3-EE80-4E7A-B551-D860A921C57C}">
          <cx:tx>
            <cx:txData>
              <cx:f>_xlchart.v1.0</cx:f>
              <cx:v>GenAI autonomy level</cx:v>
            </cx:txData>
          </cx:tx>
          <cx:spPr>
            <a:solidFill>
              <a:schemeClr val="bg1">
                <a:lumMod val="85000"/>
              </a:schemeClr>
            </a:solidFill>
          </cx:spPr>
          <cx:dataLabels>
            <cx:visibility seriesName="0" categoryName="0" value="1"/>
          </cx:dataLabels>
          <cx:dataId val="0"/>
          <cx:layoutPr>
            <cx:binning intervalClosed="r">
              <cx:binCount val="3"/>
            </cx:binning>
          </cx:layoutPr>
        </cx:series>
      </cx:plotAreaRegion>
      <cx:axis id="0" hidden="1">
        <cx:catScaling gapWidth="0.589999974"/>
        <cx:tickLabels/>
        <cx:numFmt formatCode="General" sourceLinked="0"/>
      </cx:axis>
      <cx:axis id="1" hidden="1">
        <cx:valScaling/>
        <cx:majorGridlines>
          <cx:spPr>
            <a:ln>
              <a:noFill/>
            </a:ln>
          </cx:spPr>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microsoft.com/office/2014/relationships/chartEx" Target="../charts/chartEx1.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49894</xdr:colOff>
      <xdr:row>3</xdr:row>
      <xdr:rowOff>92530</xdr:rowOff>
    </xdr:from>
    <xdr:to>
      <xdr:col>6</xdr:col>
      <xdr:colOff>147736</xdr:colOff>
      <xdr:row>14</xdr:row>
      <xdr:rowOff>62204</xdr:rowOff>
    </xdr:to>
    <xdr:graphicFrame macro="">
      <xdr:nvGraphicFramePr>
        <xdr:cNvPr id="2" name="Chart 1">
          <a:extLst>
            <a:ext uri="{FF2B5EF4-FFF2-40B4-BE49-F238E27FC236}">
              <a16:creationId xmlns:a16="http://schemas.microsoft.com/office/drawing/2014/main" id="{6484705D-89AD-445A-88C2-27337CE0C1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445147</xdr:colOff>
      <xdr:row>0</xdr:row>
      <xdr:rowOff>153954</xdr:rowOff>
    </xdr:from>
    <xdr:to>
      <xdr:col>19</xdr:col>
      <xdr:colOff>115856</xdr:colOff>
      <xdr:row>25</xdr:row>
      <xdr:rowOff>178057</xdr:rowOff>
    </xdr:to>
    <xdr:graphicFrame macro="">
      <xdr:nvGraphicFramePr>
        <xdr:cNvPr id="2" name="Chart 1">
          <a:extLst>
            <a:ext uri="{FF2B5EF4-FFF2-40B4-BE49-F238E27FC236}">
              <a16:creationId xmlns:a16="http://schemas.microsoft.com/office/drawing/2014/main" id="{B54A6E36-4A42-CCEC-E693-C4417C8AA0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433061</xdr:colOff>
      <xdr:row>26</xdr:row>
      <xdr:rowOff>109128</xdr:rowOff>
    </xdr:from>
    <xdr:to>
      <xdr:col>16</xdr:col>
      <xdr:colOff>433061</xdr:colOff>
      <xdr:row>41</xdr:row>
      <xdr:rowOff>53144</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2783F430-F64E-063E-B9AB-2483FC169BA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102341" y="5229768"/>
              <a:ext cx="4953000" cy="268721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609234</xdr:colOff>
      <xdr:row>55</xdr:row>
      <xdr:rowOff>68242</xdr:rowOff>
    </xdr:from>
    <xdr:to>
      <xdr:col>15</xdr:col>
      <xdr:colOff>539256</xdr:colOff>
      <xdr:row>70</xdr:row>
      <xdr:rowOff>12259</xdr:rowOff>
    </xdr:to>
    <xdr:graphicFrame macro="">
      <xdr:nvGraphicFramePr>
        <xdr:cNvPr id="8" name="Chart 7">
          <a:extLst>
            <a:ext uri="{FF2B5EF4-FFF2-40B4-BE49-F238E27FC236}">
              <a16:creationId xmlns:a16="http://schemas.microsoft.com/office/drawing/2014/main" id="{88F0A2F6-F49E-8D38-3A21-B5FB3279CC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49893</xdr:colOff>
      <xdr:row>3</xdr:row>
      <xdr:rowOff>92529</xdr:rowOff>
    </xdr:from>
    <xdr:to>
      <xdr:col>7</xdr:col>
      <xdr:colOff>556986</xdr:colOff>
      <xdr:row>18</xdr:row>
      <xdr:rowOff>76200</xdr:rowOff>
    </xdr:to>
    <xdr:graphicFrame macro="">
      <xdr:nvGraphicFramePr>
        <xdr:cNvPr id="2" name="Chart 1">
          <a:extLst>
            <a:ext uri="{FF2B5EF4-FFF2-40B4-BE49-F238E27FC236}">
              <a16:creationId xmlns:a16="http://schemas.microsoft.com/office/drawing/2014/main" id="{E79805B8-B1D5-4D9D-9102-78150475A5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Liu  Jingqi" id="{0B0C2663-456E-42E8-B94D-47BDA5F13ED5}" userId="S::liujing@ethz.ch::0db32ce3-2ea0-471f-8141-6b92e37c69d1"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u  Jingqi" refreshedDate="46185.425314236112" createdVersion="8" refreshedVersion="8" minRefreshableVersion="3" recordCount="36" xr:uid="{BDF21700-BD10-4F49-9FAE-5AF9533CB1B1}">
  <cacheSource type="worksheet">
    <worksheetSource ref="D1:G1048576" sheet="MGT articles"/>
  </cacheSource>
  <cacheFields count="4">
    <cacheField name="Year" numFmtId="0">
      <sharedItems containsString="0" containsBlank="1" containsNumber="1" containsInteger="1" minValue="2023" maxValue="2026" count="5">
        <n v="2023"/>
        <n v="2024"/>
        <n v="2025"/>
        <n v="2026"/>
        <m/>
      </sharedItems>
    </cacheField>
    <cacheField name="Journal/Conference" numFmtId="0">
      <sharedItems containsBlank="1"/>
    </cacheField>
    <cacheField name="Citations" numFmtId="0">
      <sharedItems containsString="0" containsBlank="1" containsNumber="1" containsInteger="1" minValue="0" maxValue="154"/>
    </cacheField>
    <cacheField name="First author"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u  Jingqi" refreshedDate="46185.425314467589" createdVersion="8" refreshedVersion="8" minRefreshableVersion="3" recordCount="137" xr:uid="{8E0CB793-3FA8-461B-99D3-130BBCA88446}">
  <cacheSource type="worksheet">
    <worksheetSource ref="D1:G1048576" sheet="EN articles"/>
  </cacheSource>
  <cacheFields count="4">
    <cacheField name="Year" numFmtId="0">
      <sharedItems containsString="0" containsBlank="1" containsNumber="1" containsInteger="1" minValue="2024" maxValue="2026" count="4">
        <n v="2024"/>
        <n v="2025"/>
        <n v="2026"/>
        <m/>
      </sharedItems>
    </cacheField>
    <cacheField name="Journal/Conference" numFmtId="49">
      <sharedItems containsBlank="1"/>
    </cacheField>
    <cacheField name="Citations" numFmtId="0">
      <sharedItems containsString="0" containsBlank="1" containsNumber="1" containsInteger="1" minValue="0" maxValue="61"/>
    </cacheField>
    <cacheField name="First author" numFmtId="0">
      <sharedItems containsBlank="1" count="122">
        <s v="Zhou B."/>
        <s v="Xia L."/>
        <s v="Jackson I."/>
        <s v="Gkournelos C."/>
        <s v="Wang T."/>
        <s v="Sun Y."/>
        <s v="Zheng P."/>
        <s v="Li Y."/>
        <s v="Fan J."/>
        <s v="Xu Q."/>
        <s v="Colabianchi S."/>
        <s v="Shahin M."/>
        <s v="Wang P."/>
        <s v="Fu T."/>
        <s v="Wu T."/>
        <s v="Zhu J."/>
        <s v="Shi D."/>
        <s v="Liu Y."/>
        <s v="Cheamsiri W."/>
        <s v="Cao S."/>
        <s v="Cheng Z.-Q."/>
        <s v="Ji Y."/>
        <s v="Picard C."/>
        <s v="Fan H."/>
        <s v="Heredia Álvaro J.A."/>
        <s v="Liu X."/>
        <s v="Xia Y."/>
        <s v="Liao X."/>
        <s v="Jeon J."/>
        <s v="Wen S."/>
        <s v="Liu C."/>
        <s v="Wu P."/>
        <s v="Du K."/>
        <s v="Wan Y."/>
        <s v="Kiangala K.S."/>
        <s v="Yin Y."/>
        <s v="Gautam A."/>
        <s v="Lin X."/>
        <s v="Keskin Z."/>
        <s v="Garcia-Perez A."/>
        <s v="Shim M."/>
        <s v="Feng P."/>
        <s v="Ma Y."/>
        <s v="Li X."/>
        <s v="Wang X."/>
        <s v="Tan J."/>
        <s v="Yang S."/>
        <s v="Naghavi Khanghah K."/>
        <s v="Wang Y."/>
        <s v="Wang B."/>
        <s v="Wang Z."/>
        <s v="Jiang Z."/>
        <s v="Simeone A."/>
        <s v="Zhuang W."/>
        <s v="Daareyni A."/>
        <s v="Yuan Z."/>
        <s v="Sahadevan V."/>
        <s v="Chen G."/>
        <s v="Alam L."/>
        <s v="Duan C."/>
        <s v="Dimitropoulos N."/>
        <s v="Zhao, L."/>
        <s v="Li, L."/>
        <s v="Gu, W."/>
        <s v="Liu, Z."/>
        <s v="Wang, S."/>
        <s v="Liu, S."/>
        <s v="Tong, X."/>
        <s v="Alenjareghi, M.J."/>
        <s v="Chen, J."/>
        <s v="Zhou, Q."/>
        <s v="Tasneem, O."/>
        <s v="Ding, P."/>
        <s v="Wang, W."/>
        <s v="Chen, H."/>
        <s v="Liu, C."/>
        <s v="Wu, T."/>
        <s v="Ma, Y."/>
        <s v="Wang, Y."/>
        <s v="Shi, D."/>
        <s v="Safari, A."/>
        <s v="Barot, M."/>
        <s v="Zhang, C."/>
        <s v="Genetti, S."/>
        <s v="Gong, W."/>
        <s v="Liu, P."/>
        <s v="Fan, S.-K.S."/>
        <s v="Zhao, Z."/>
        <s v="Liu, J."/>
        <s v="Chen, T.-C.T."/>
        <s v="Dong, W."/>
        <s v="Gui, H."/>
        <s v="Lee, J."/>
        <s v="Lin, J."/>
        <s v="Gu, S."/>
        <s v="Karabiyik, M.A."/>
        <s v="Li, C."/>
        <s v="Karapanagiotis, P."/>
        <s v="Wang, P."/>
        <s v="Xiong, X."/>
        <s v="Zhang, Z."/>
        <s v="Li, F."/>
        <s v="Lou, S."/>
        <s v="Wang, B."/>
        <s v="Shao, P."/>
        <s v="Khvatskii, G."/>
        <s v="Abbaszadeh Nakhost, M."/>
        <s v="Yu, Y.-C."/>
        <s v="Li, J."/>
        <s v="Deng, H."/>
        <s v="Xiang, W."/>
        <s v="Elbasheer, M."/>
        <s v="Zong, Y."/>
        <s v="AlMahri, S."/>
        <s v="Zhang, J."/>
        <s v="Li, H."/>
        <s v="Boudribila, A."/>
        <s v="Zheng, G."/>
        <s v="Lin, K.-Y."/>
        <s v="Zhu, Z."/>
        <s v="MacAluso, A."/>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u  Jingqi" refreshedDate="46185.425315046297" createdVersion="8" refreshedVersion="8" minRefreshableVersion="3" recordCount="32" xr:uid="{E6F74FA4-D49D-48F4-8F3B-ADFA880D8EFD}">
  <cacheSource type="worksheet">
    <worksheetSource ref="C1:C1048576" sheet="review articles"/>
  </cacheSource>
  <cacheFields count="1">
    <cacheField name="Year" numFmtId="0">
      <sharedItems containsString="0" containsBlank="1" containsNumber="1" containsInteger="1" minValue="2023" maxValue="2026" count="4">
        <n v="2025"/>
        <n v="2026"/>
        <n v="2023"/>
        <m/>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u  Jingqi" refreshedDate="46185.425315277775" createdVersion="8" refreshedVersion="8" minRefreshableVersion="3" recordCount="36" xr:uid="{438D9397-DFDF-4047-8C3C-D37A9906D339}">
  <cacheSource type="worksheet">
    <worksheetSource ref="G1:G1048576" sheet="MGT articles"/>
  </cacheSource>
  <cacheFields count="1">
    <cacheField name="First author" numFmtId="0">
      <sharedItems containsBlank="1" count="34">
        <s v="Fosso Wamba S."/>
        <s v="Gmeiner F."/>
        <s v="Colabianchi S."/>
        <s v="Jackson I."/>
        <s v="Ghobakhloo M."/>
        <s v="Akhtar P."/>
        <s v="Dubey R."/>
        <s v="Li L."/>
        <s v="Al-khatib A.W."/>
        <s v="Haddud A."/>
        <s v="Khan S."/>
        <s v="Wang S."/>
        <s v="Kurrahman T."/>
        <s v="Mata O."/>
        <s v="Wu H."/>
        <s v="Fan X."/>
        <s v="Chen J."/>
        <s v="Ni M."/>
        <s v="Kmiecik M."/>
        <s v="Löwhagen, N."/>
        <s v="Fang, J."/>
        <s v="Zhao, J."/>
        <s v="Wang, S."/>
        <s v="Dou, R."/>
        <s v="Joglekar, N."/>
        <s v="Zouaghi, I."/>
        <s v="He, M."/>
        <s v="Li, R."/>
        <s v="Lin, K.-Y."/>
        <s v="Ruangkanjanases, A."/>
        <s v="Aslam, J."/>
        <s v="Chan, H.-L."/>
        <m/>
        <s v="Zheng, G." u="1"/>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u  Jingqi" refreshedDate="46185.425315740744" createdVersion="8" refreshedVersion="8" minRefreshableVersion="3" recordCount="36" xr:uid="{7E6BE35C-E915-4F40-BBD1-4F63BC964FEC}">
  <cacheSource type="worksheet">
    <worksheetSource ref="H1:H1048576" sheet="MGT articles"/>
  </cacheSource>
  <cacheFields count="1">
    <cacheField name="First author affiliation" numFmtId="0">
      <sharedItems containsBlank="1" count="34">
        <s v="TBS Business School, Toulouse, France"/>
        <s v="Carnegie Mellon University, United States"/>
        <s v="Department of Computer, Control, and Management Engineering Antonio Ruberti, Sapienza University of Rome, Via Ariosto 25, Rome, 00185, Italy"/>
        <s v="Center for Transportation &amp; Logistics, Massachusetts Institute of Technology, Cambridge, MA, United States"/>
        <s v="Division of Industrial Engineering and Management, Uppsala University, Uppsala, Sweden"/>
        <s v="The University of Aberdeen Business School, University of Aberdeen, Aberdeen, United Kingdom"/>
        <s v="Montpellier Business School, 2300 Avenue des Moulins, Montpellier, 34185, France"/>
        <s v="School of Economics and Management, Xi'an University of Technology, Xi'an, 710054, China"/>
        <s v="Business Faculty, Middle East University, Amman, 11831, Jordan"/>
        <s v="College of Business and Economic Development, University of Southern Mississippi, Hattiesburg, MS, United States"/>
        <s v="College of Management, Research Institute of Business Analytics and Supply Chain Management, Shenzhen University, Shenzhen, China"/>
        <s v="International Business School, Fuzhou University of International Studies and Trade, Fuzhou, China"/>
        <s v="Department of Shipping and Transportation Management, National Taiwan Ocean University, Keelung, Taiwan"/>
        <s v="Institute of Advanced Materials and Sustainable Manufacturing, Tecnologico de Monterrey, CDMX, Mexico City, 14380, Mexico"/>
        <s v="School of Economics and Management, China University of Petroleum-Beijing, Beijing, 102249, China"/>
        <s v="School of Business and Management, Jilin University, Changchun, China"/>
        <s v="Business School, University of Bristol, Bristol, United Kingdom"/>
        <s v="Guangdong Provincial Key Laboratory of Cyber-Physical System, Guangdong University of Technology, Guangzhou, China"/>
        <s v="Logistics Institute, Department of Organization and Management, Silesian University of Technology, Zabrze, Poland"/>
        <s v="Department of Management, Technology, and Economics, ETH Zurich, Zurich, Switzerland"/>
        <s v="School of Business, Wenzhou University, Wenzhou, Zhejiang, China"/>
        <s v="School of Economics and Management, Harbin Engineering University, Harbin, Heilongjiang, China"/>
        <s v="International Business School, Fuzhou University of Foreign Studies and Trade, Fuzhou, Fujian, China"/>
        <s v="Department of Management and Economics, Tianjin University, Tianjin, China"/>
        <s v="Villanova University, Villanova, PA, United States"/>
        <s v="Department of Industrial Engineering, Ecole Nationale Polytechnique, Algiers, Algiers Province, Algeria"/>
        <s v="School of Economics and Management, Xi'an University of Technology, Xi'an, Shaanxi, China"/>
        <s v="School of Management, University of Science and Technology of China, Hefei, Anhui, China"/>
        <s v="Department of Industrial Engineering and Management, National Kaohsiung University of Science and Technology, Kaohsiung, Taiwan"/>
        <s v="Chulalongkorn Business School, Bangkok, Thailand"/>
        <s v="Department of Logistics and Maritime Studies, The Hong Kong Polytechnic University, Hong Kong, Hong Kong, Hong Kong"/>
        <s v="School of Fashion and Textiles, The Hong Kong Polytechnic University, Hong Kong, Hong Kong, Hong Kong"/>
        <m/>
        <s v="Supply Chain AI Lab, Department of Engineering, Cambridge, Cambridgeshire, United Kingdom" u="1"/>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u  Jingqi" refreshedDate="46185.425316203706" createdVersion="8" refreshedVersion="8" minRefreshableVersion="3" recordCount="137" xr:uid="{9EECCD10-82C5-4F5B-AB55-66DF5E4704BF}">
  <cacheSource type="worksheet">
    <worksheetSource ref="C1:G1048576" sheet="EN articles"/>
  </cacheSource>
  <cacheFields count="5">
    <cacheField name="Authors" numFmtId="0">
      <sharedItems containsBlank="1"/>
    </cacheField>
    <cacheField name="Year" numFmtId="0">
      <sharedItems containsString="0" containsBlank="1" containsNumber="1" containsInteger="1" minValue="2024" maxValue="2026"/>
    </cacheField>
    <cacheField name="Journal/Conference" numFmtId="49">
      <sharedItems containsBlank="1" count="30">
        <s v="Advanced Engineering Informatics"/>
        <s v="Robotics and Computer-Integrated Manufacturing"/>
        <s v="International Journal of Production Research"/>
        <s v="CIRP Annals"/>
        <s v="Journal of Manufacturing Systems"/>
        <s v="Journal of Industrial Information Integration"/>
        <s v="International Journal of Advanced Manufacturing Technology"/>
        <s v="Computers in Industry"/>
        <s v="Frontiers of Engineering Management"/>
        <s v="MM 2024 - Proceedings of the 32nd ACM International Conference on Multimedia"/>
        <s v="IEEE Internet of Things Journal"/>
        <s v="IEEE Access"/>
        <s v="EMNLP 2024 - 2024 Conference on Empirical Methods in Natural Language Processing, Proceedings of the Industry Track"/>
        <s v="Scientific Reports"/>
        <s v="Artificial Intelligence Review"/>
        <s v="Journal of Intelligent Manufacturing"/>
        <s v="Computers and Industrial Engineering"/>
        <s v="IEEE Transactions on Automation Science and Engineering"/>
        <s v="Journal of Computing and Information Science in Engineering"/>
        <s v="Proceedings of the AAAI Conference on Artificial Intelligence"/>
        <s v="Nature Communications"/>
        <s v="Expert Systems with Applications"/>
        <s v="Information Fusion"/>
        <s v="International Journal of Production Economics"/>
        <s v="Applied Soft Computing"/>
        <s v="Engineering Applications of Artificial Intelligence"/>
        <s v="Journal of Systems and Software"/>
        <s v="IEEE Transactions on Computational Social Systems"/>
        <s v="Proceedings - IEEE International Conference on Robotics and Automation"/>
        <m/>
      </sharedItems>
    </cacheField>
    <cacheField name="Citations" numFmtId="0">
      <sharedItems containsString="0" containsBlank="1" containsNumber="1" containsInteger="1" minValue="0" maxValue="61"/>
    </cacheField>
    <cacheField name="First author" numFmtId="0">
      <sharedItems containsBlank="1"/>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u  Jingqi" refreshedDate="46185.425316550929" createdVersion="8" refreshedVersion="8" minRefreshableVersion="3" recordCount="137" xr:uid="{A2CD60ED-FCA8-4DF8-BBC2-4E3089B409C4}">
  <cacheSource type="worksheet">
    <worksheetSource ref="G1:H1048576" sheet="EN articles"/>
  </cacheSource>
  <cacheFields count="2">
    <cacheField name="First author" numFmtId="0">
      <sharedItems containsBlank="1"/>
    </cacheField>
    <cacheField name="First author affiliation" numFmtId="0">
      <sharedItems containsBlank="1" count="111" longText="1">
        <s v="School of Artificial Intelligence, Anhui Polytechnic University, Wuhu, 241000, China"/>
        <s v="Department of Industrial and Systems Engineering, The Hong Kong Polytechnic University, Hong Kong"/>
        <s v="Center for Transportation &amp; Logistics, Massachusetts Institute of Technology, Cambridge, MA, United States"/>
        <s v="Laboratory for Manufacturing Systems and Automation, Department of Mechanical Engineering and Aeronautics, University of Patras, Patras, Greece"/>
        <s v="College of Mechanical Engineering, Donghua University, Shanghai, 201620, China"/>
        <s v="Edward P. Fitts Department of Industrial &amp; Systems Engineering, North Carolina State University, United States"/>
        <s v="School of Mechanical Engineering, Xi’an Jiaotong University, No.28 Xianning West Road, Xi’an, 710049, China"/>
        <s v="Department of computer, control, and management engineering Antonio Ruberti, Sapienza University of Rome, Via Ariosto 25, Rome, 00185, Italy"/>
        <s v="Mechanical Engineering Department, The University of Texas at San Antonio, San Antonio, TX, United States"/>
        <s v="Department of Electrical and Computer Engineering, Department of Mechanical and Aerospace Engineering, University of Kentucky, Lexington, KY, United States"/>
        <s v="The School of Mechanical Engineering, Zhejiang University, Hangzhou, 310058, China"/>
        <s v="Beijing Institute of Technology, Beijing, China"/>
        <s v="Fraunhofer Institute for Manufacturing Engineering and Automation IPA, Nobelstraße 12, Stuttgart, 70569, Germany"/>
        <s v="China University of Petroleum (East China), College of Computer Science and Technology, Qingdao, 266580, China"/>
        <s v="Faculty of Engineering, Mahidol University, Image Information and Intelligence Laboratory, Department of Computer Engineering, Nakhon Pathom, 73170, Thailand"/>
        <s v="Faculty of Engineering, Technology and Built Environment, UCSI University, Kuala Lumpur, 56000, Malaysia"/>
        <s v="Carnegie Mellon University, United States"/>
        <s v="College of Mechanical and Electrical Engineering, Nanjing University of Aeronautics and Astronautics, Nanjing, 210016, China"/>
        <s v="Department of Mechanical Engineering, Massachusetts Institute of Technology, Cambridge, 02139, MA, United States"/>
        <s v="Department of Mechanical Engineering, National University of Singapore, 9 Engineering Drive 1, Singapore"/>
        <s v="Industry 4.0 Chair, Universitat Jaume I, Castellón, Spain"/>
        <s v="Micro-Electronics Research Institute, Hangzhou Dianzi University, Hangzhou, 310005, China"/>
        <s v="Guangdong Provincial Key Laboratory of Cyber-Physical System, Guangdong University of Technology, Guangzhou, China"/>
        <s v="School of Mechanical Engineering, Pusan National University, Busan, 46241, South Korea"/>
        <s v="College of Artificial Intelligence, Southwest University, Chongqing, 400715, China"/>
        <s v="State Key Laboratory of Mechanical Transmission for Advanced Equipment, Chongqing University, Chongqing, 400044, China"/>
        <s v="Department of Mechanical Engineering, School of Engineering, Cardiff University, Cardiff, CF24 3AA, United Kingdom"/>
        <s v="Department of Electrical and Smart Systems Engineering, University of South Africa (UNISA), Florida, Gauteng, Johannesburg, 1709, South Africa"/>
        <s v="School of Mechanical Engineering, Xi'an Jiaotong University, Xi'an, 710049, China"/>
        <s v="Department of Industrial and Systems Engineering, The Hong Kong Polytechnic University, Hong Kong Special Administrative Region, China"/>
        <s v="Center for Global Design and Manufacturing, Siemens Simulation Technology Center, Department of Mechanical &amp; Materials Engineering, University of Cincinnati, Cincinnati, 45221, OH, United States"/>
        <s v="Shenyang Institute of Computing Technology, Chinese Academy of Sciences, Shenyang, 110168, China"/>
        <s v="INC Innovation Center GmbH, Munich, 81539, Germany"/>
        <s v="Simulation Systems, ITP Aero, Francisca Delgado 9, Madrid, Alcobendas, Spain"/>
        <s v="Department of Computer Science, Yonsei University, 50 Yonsei-ro, Sedaemun-gu, Seoul, 03722, South Korea"/>
        <s v="Dalian Maritime University, School of Navigation, Dalian, 116026, China"/>
        <s v="School of Software Engineering, Xi'an Jiaotong University, Xi'an, China"/>
        <s v="The College of Electronics and Information Engineering, Shanghai Research Institute for Intelligent Autonomous Systems, the National Key Laboratory of Autonomous Intelligent Unmanned Systems, The Frontiers Science Center for Intelligent Autonomous Systems, Tongji University, Shanghai, 201804, China"/>
        <s v="School of System Design and Intelligent Manufacturing, Southern University of Science and Technology, Shenzhen, 518055, China"/>
        <s v="School of Manufacturing Systems and Networks, Arizona State University, Mesa, 85212, AZ, United States"/>
        <s v="South China University of Technology, School of Mechanical and Automotive Engineering, Guangzhou, 510641, China"/>
        <s v="Department of Urology, Qilu Hospital of Shandong University, Jinan, China"/>
        <s v="School of Mechanical, Aerospace and Manufacturing Engineering, University of Connecticut, Storrs, 06269, CT, United States"/>
        <s v="Beijing University of Posts and Telecommunications, State Key Laboratory of Information Photonics and Optical Communications, Beijing, 100876, China"/>
        <s v="School of Engineering Technology, Purdue University, West Lafayette, United States"/>
        <s v="Dyson School of Design Engineering, Imperial College London, Exhibition Rd, South Kensington, SW7 2AZ, United Kingdom"/>
        <s v="School of Mechanical Science and Engineering, Huazhong University of Science and Technology, Wuhan, 430074, China"/>
        <s v="The Southern University of Science and Technology, Guangdong, Shenzhen, 518055, China"/>
        <s v="Department of Management and Production Engineering, Politecnico di Torino, Corso Duca degli Abruzzi 24, Torino, 10129, Italy"/>
        <s v="Faculty of Engineering and Natural Sciences, Tampere University, Korkeakoulunkatu 6, Pirkanmaa, Tampere, 33014, Finland"/>
        <s v="Department of Mechanical, Aerospace, and Industrial Engineering, The University of Texas at San Antonio, San Antonio, United States"/>
        <s v="Institute of Artificial Intelligence, University of Science and Technology Beijing, Beijing, China"/>
        <s v="Indian Institute of Science Bengaluru, India"/>
        <s v="Chinese University of Hong Kong, Hong Kong"/>
        <s v="The University of Texas at Dallas, Department of Electrical and Computer Engineering, Richardson, 75080, TX, United States"/>
        <s v="Department of Mechanical and Aerospace Engineering, College of Engineering and Computer Science, University of Central Florida, Orlando, 32816, FL, United States"/>
        <s v="School of Electrical and Electronic Engineering, Singapore City, Singapore"/>
        <s v="State Key Laboratory for Manufacturing Systems Engineering, Xi'an, Shaanxi, China"/>
        <s v="College of Mechanical and Electrical Engineering, Hohai University Changzhou, Changzhou, Jiangsu, China"/>
        <s v="State Key Laboratory of Fluid Power and Mechatronic Systems, Hangzhou, Zhejiang, China"/>
        <s v="Wuhan University of Technology, Wuhan, Hubei, China"/>
        <s v="College of Mechanical Engineering, Taiyuan University of Technology, Taiyuan, Shanxi, China"/>
        <s v="College of Mechanical Engineering, Donghua University, Shanghai, Shanghai, China"/>
        <s v="Department of Mathematics and Industrial Engineering, Polytechnique Montréal, Montreal, QC, Canada"/>
        <s v="School of Mechanical Engineering, Beijing Institute of Technology, Beijing, China"/>
        <s v="Global College, Shanghai Jiao Tong University, Shanghai, China"/>
        <s v="Automation Technology and Mechanical Engineering, Tampere University, Tampere, Pirkanmaa, Finland"/>
        <s v="Guizhou University, Guiyang, Guizhou, China"/>
        <s v="College of Computer and Cyber Security, Fujian Normal University, Fuzhou, Fujian, China"/>
        <s v="Nanjing University of Aeronautics and Astronautics, Nanjing, Jiangsu, China"/>
        <s v="School of Software Engineering, Xi'an Jiaotong University, Xi'an, Shaanxi, China"/>
        <s v="Beihang University, Beijing, China"/>
        <s v="Fraunhofer Institute for Manufacturing Engineering and Automation IPA, Stuttgart, Baden-Wurttemberg, Germany"/>
        <s v="Automotive and Materials Engineering, University of Windsor, Windsor, ON, Canada"/>
        <s v="Thomas J. Watson College of Engineering and Applied Science, Binghamton, NY, United States"/>
        <s v="Guangxi Key Laboratory of Manufacturing System &amp; Advanced Manufacturing Technology, Guilin University of Electronic Technology, Guilin, Guangxi, China"/>
        <s v="Università di Trento, Trento, TN, Italy"/>
        <s v="Department of Pediatrics, University of Science and Technology of China, Hefei, Anhui, China"/>
        <s v="Institute for Innovation and Development, Tsinghua University, Beijing, China"/>
        <s v="Department of Industrial Engineering and Management, National Taipei University of Technology, Taipei, Taiwan"/>
        <s v="School of Computer Science and Software Engineering, Shenzhen University, Shenzhen, Guangdong, China"/>
        <s v="Department of Industrial Engineering and Management, National Yang Ming Chiao Tung University, Hsinchu, Taiwan"/>
        <s v="Department of Industrial and Systems Engineering, The Hong Kong Polytechnic University, Hong Kong, Hong Kong, Hong Kong"/>
        <s v="Korea Advanced Institute of Science and Technology, Daejeon, South Korea"/>
        <s v="Department of Mechanical Engineering, Tsinghua University, Beijing, China"/>
        <s v="Xi'an Jiaotong University, Xi'an, Shaanxi, China"/>
        <s v="Department of Computer Technologies, Niğde Ömer Halisdemir University, Nigde, Nigde, Turkey"/>
        <s v="University of Virginia School of Engineering and Applied Science, Charlottesville, VA, United States"/>
        <s v="Rijksuniversiteit Groningen, Groningen, Groningen, Netherlands"/>
        <s v="Institute of Computing Technology Chinese Academy of Sciences, Beijing, Beijing, China"/>
        <s v="Shanghai Jiao Tong University, Shanghai, China"/>
        <s v="State Key Laboratory of Mechanical Transmission for Advanced Equipment, Chongqing University, Chongqing, China"/>
        <s v="School of Mechanical and Aerospace Engineering, Singapore City, Singapore"/>
        <s v="School of Mechanical Engineering and Automation, Beihang University, Beijing, China"/>
        <s v="College of Engineering, Notre Dame, IN, United States"/>
        <s v="TUM School of Management, Munich, Munich, Bayern, Germany"/>
        <s v="Department of Electrical Engineering, National Chung Hsing University, Taichung, Taiwan"/>
        <s v="Research Institute for Advanced Manufacturing, The Hong Kong Polytechnic University, Hong Kong, Hong Kong, Hong Kong"/>
        <s v="School of Information Science and Technology, University of Science and Technology of China, Hefei, Anhui, China"/>
        <s v="College of Information Science and Technology, Donghua University, Shanghai, Shanghai, China"/>
        <s v="Department of Mechanics, Università della Calabria, Rende, CS, Italy"/>
        <s v="School of Automation Science and Electrical Engineering, Beihang University, Beijing, China"/>
        <s v="Institute for Manufacturing, Department of Engineering, Cambridge, Cambridgeshire, United Kingdom"/>
        <s v="School of Civil and Hydraulic Engineering, Huazhong University of Science and Technology, Wuhan, Hubei, China"/>
        <s v="Department of Electrical and Electronic Engineering, University of Bristol, Bristol, United Kingdom"/>
        <s v="System Engineering and Applications Laboratory, Cadi Ayyad University, Marakech, Marrakesh-Safi, Morocco"/>
        <s v="Supply Chain AI Lab, Department of Engineering, Cambridge, Cambridgeshire, United Kingdom"/>
        <s v="Department of Industrial Engineering and Management, National Kaohsiung University of Science and Technology, Kaohsiung, Taiwan"/>
        <s v="College of Systems Engineering, National University of Defense Technology China, Changsha, Hunan, China"/>
        <s v="University of California, San Diego, La Jolla, CA, United States"/>
        <m/>
      </sharedItems>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u  Jingqi" refreshedDate="46185.425316898145" createdVersion="8" refreshedVersion="8" minRefreshableVersion="3" recordCount="134" xr:uid="{CF6D467C-AE1C-4639-AD04-94A15B4C9D18}">
  <cacheSource type="worksheet">
    <worksheetSource ref="C1:C1048576" sheet="framework"/>
  </cacheSource>
  <cacheFields count="1">
    <cacheField name="TRL axis" numFmtId="0">
      <sharedItems containsString="0" containsBlank="1" containsNumber="1" containsInteger="1" minValue="1" maxValue="8" count="9">
        <n v="4"/>
        <n v="3"/>
        <n v="5"/>
        <n v="8"/>
        <n v="7"/>
        <n v="6"/>
        <n v="2"/>
        <n v="1"/>
        <m/>
      </sharedItems>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u  Jingqi" refreshedDate="46185.42531712963" createdVersion="8" refreshedVersion="8" minRefreshableVersion="3" recordCount="36" xr:uid="{B06A4C6A-43EE-4703-B09E-EE8517B73C14}">
  <cacheSource type="worksheet">
    <worksheetSource ref="E1:E1048576" sheet="MGT articles"/>
  </cacheSource>
  <cacheFields count="1">
    <cacheField name="Journal/Conference" numFmtId="0">
      <sharedItems containsBlank="1" count="13">
        <s v="International Journal of Production Economics"/>
        <s v="Conference on Human Factors in Computing Systems - Proceedings"/>
        <s v="Journal of Industrial Information Integration"/>
        <s v="International Journal of Production Research"/>
        <s v="Journal of Manufacturing Technology Management"/>
        <s v="Transportation Research Part E: Logistics and Transportation Review"/>
        <s v="Technology in Society"/>
        <s v="International Journal of Logistics Research and Applications"/>
        <s v="Journal of Intelligent Manufacturing"/>
        <s v="Frontiers of Engineering Management"/>
        <s v="IEEE Access"/>
        <s v="IEEE Transactions on Engineering Management"/>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s v="International Journal of Production Economics"/>
    <n v="154"/>
    <s v="Fosso Wamba S."/>
  </r>
  <r>
    <x v="0"/>
    <s v="Conference on Human Factors in Computing Systems - Proceedings"/>
    <n v="62"/>
    <s v="Gmeiner F."/>
  </r>
  <r>
    <x v="0"/>
    <s v="Journal of Industrial Information Integration"/>
    <n v="29"/>
    <s v="Colabianchi S."/>
  </r>
  <r>
    <x v="1"/>
    <s v="International Journal of Production Research"/>
    <n v="97"/>
    <s v="Jackson I."/>
  </r>
  <r>
    <x v="1"/>
    <s v="International Journal of Production Research"/>
    <n v="65"/>
    <s v="Fosso Wamba S."/>
  </r>
  <r>
    <x v="1"/>
    <s v="Journal of Manufacturing Technology Management"/>
    <n v="35"/>
    <s v="Ghobakhloo M."/>
  </r>
  <r>
    <x v="1"/>
    <s v="International Journal of Production Economics"/>
    <n v="34"/>
    <s v="Akhtar P."/>
  </r>
  <r>
    <x v="1"/>
    <s v="Transportation Research Part E: Logistics and Transportation Review"/>
    <n v="22"/>
    <s v="Dubey R."/>
  </r>
  <r>
    <x v="1"/>
    <s v="Transportation Research Part E: Logistics and Transportation Review"/>
    <n v="21"/>
    <s v="Li L."/>
  </r>
  <r>
    <x v="1"/>
    <s v="Technology in Society"/>
    <n v="15"/>
    <s v="Al-khatib A.W."/>
  </r>
  <r>
    <x v="1"/>
    <s v="International Journal of Production Economics"/>
    <n v="11"/>
    <s v="Li L."/>
  </r>
  <r>
    <x v="1"/>
    <s v="Journal of Manufacturing Technology Management"/>
    <n v="7"/>
    <s v="Haddud A."/>
  </r>
  <r>
    <x v="2"/>
    <s v="Journal of Manufacturing Technology Management"/>
    <n v="5"/>
    <s v="Khan S."/>
  </r>
  <r>
    <x v="2"/>
    <s v="International Journal of Production Research"/>
    <n v="4"/>
    <s v="Wang S."/>
  </r>
  <r>
    <x v="2"/>
    <s v="International Journal of Logistics Research and Applications"/>
    <n v="2"/>
    <s v="Kurrahman T."/>
  </r>
  <r>
    <x v="2"/>
    <s v="Journal of Intelligent Manufacturing"/>
    <n v="2"/>
    <s v="Mata O."/>
  </r>
  <r>
    <x v="2"/>
    <s v="Frontiers of Engineering Management"/>
    <n v="1"/>
    <s v="Wu H."/>
  </r>
  <r>
    <x v="2"/>
    <s v="International Journal of Logistics Research and Applications"/>
    <n v="0"/>
    <s v="Fan X."/>
  </r>
  <r>
    <x v="2"/>
    <s v="International Journal of Logistics Research and Applications"/>
    <n v="0"/>
    <s v="Chen J."/>
  </r>
  <r>
    <x v="2"/>
    <s v="International Journal of Production Research"/>
    <n v="0"/>
    <s v="Ni M."/>
  </r>
  <r>
    <x v="2"/>
    <s v="International Journal of Logistics Research and Applications"/>
    <n v="0"/>
    <s v="Kmiecik M."/>
  </r>
  <r>
    <x v="2"/>
    <s v="International Journal of Production Research"/>
    <n v="3"/>
    <s v="Löwhagen, N."/>
  </r>
  <r>
    <x v="3"/>
    <s v="International Journal of Production Economics"/>
    <n v="0"/>
    <s v="Fang, J."/>
  </r>
  <r>
    <x v="2"/>
    <s v="International Journal of Production Economics"/>
    <n v="0"/>
    <s v="Zhao, J."/>
  </r>
  <r>
    <x v="2"/>
    <s v="Technology in Society"/>
    <n v="30"/>
    <s v="Wang, S."/>
  </r>
  <r>
    <x v="2"/>
    <s v="International Journal of Production Economics"/>
    <n v="2"/>
    <s v="Dou, R."/>
  </r>
  <r>
    <x v="2"/>
    <s v="International Journal of Production Research"/>
    <n v="1"/>
    <s v="Joglekar, N."/>
  </r>
  <r>
    <x v="2"/>
    <s v="International Journal of Production Research"/>
    <n v="0"/>
    <s v="Zouaghi, I."/>
  </r>
  <r>
    <x v="2"/>
    <s v="IEEE Access"/>
    <n v="0"/>
    <s v="He, M."/>
  </r>
  <r>
    <x v="2"/>
    <s v="International Journal of Logistics Research and Applications"/>
    <n v="0"/>
    <s v="Li, R."/>
  </r>
  <r>
    <x v="2"/>
    <s v="International Journal of Production Research"/>
    <n v="2"/>
    <s v="Lin, K.-Y."/>
  </r>
  <r>
    <x v="2"/>
    <s v="International Journal of Logistics Research and Applications"/>
    <n v="0"/>
    <s v="Ruangkanjanases, A."/>
  </r>
  <r>
    <x v="2"/>
    <s v="IEEE Transactions on Engineering Management"/>
    <n v="3"/>
    <s v="Aslam, J."/>
  </r>
  <r>
    <x v="2"/>
    <s v="International Journal of Logistics Research and Applications"/>
    <n v="2"/>
    <s v="Lin, K.-Y."/>
  </r>
  <r>
    <x v="2"/>
    <s v="IEEE Transactions on Engineering Management"/>
    <n v="4"/>
    <s v="Chan, H.-L."/>
  </r>
  <r>
    <x v="4"/>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7">
  <r>
    <x v="0"/>
    <s v="Advanced Engineering Informatics"/>
    <n v="61"/>
    <x v="0"/>
  </r>
  <r>
    <x v="0"/>
    <s v="Robotics and Computer-Integrated Manufacturing"/>
    <n v="45"/>
    <x v="1"/>
  </r>
  <r>
    <x v="0"/>
    <s v="International Journal of Production Research"/>
    <n v="44"/>
    <x v="2"/>
  </r>
  <r>
    <x v="0"/>
    <s v="CIRP Annals"/>
    <n v="35"/>
    <x v="3"/>
  </r>
  <r>
    <x v="0"/>
    <s v="Journal of Manufacturing Systems"/>
    <n v="29"/>
    <x v="4"/>
  </r>
  <r>
    <x v="0"/>
    <s v="Journal of Manufacturing Systems"/>
    <n v="26"/>
    <x v="5"/>
  </r>
  <r>
    <x v="0"/>
    <s v="CIRP Annals"/>
    <n v="16"/>
    <x v="6"/>
  </r>
  <r>
    <x v="0"/>
    <s v="Journal of Industrial Information Integration"/>
    <n v="14"/>
    <x v="7"/>
  </r>
  <r>
    <x v="0"/>
    <s v="Journal of Manufacturing Systems"/>
    <n v="12"/>
    <x v="8"/>
  </r>
  <r>
    <x v="0"/>
    <s v="International Journal of Advanced Manufacturing Technology"/>
    <n v="10"/>
    <x v="9"/>
  </r>
  <r>
    <x v="0"/>
    <s v="Computers in Industry"/>
    <n v="10"/>
    <x v="10"/>
  </r>
  <r>
    <x v="0"/>
    <s v="International Journal of Advanced Manufacturing Technology"/>
    <n v="9"/>
    <x v="11"/>
  </r>
  <r>
    <x v="0"/>
    <s v="CIRP Annals"/>
    <n v="8"/>
    <x v="12"/>
  </r>
  <r>
    <x v="0"/>
    <s v="Frontiers of Engineering Management"/>
    <n v="7"/>
    <x v="13"/>
  </r>
  <r>
    <x v="0"/>
    <s v="Journal of Manufacturing Systems"/>
    <n v="7"/>
    <x v="14"/>
  </r>
  <r>
    <x v="0"/>
    <s v="MM 2024 - Proceedings of the 32nd ACM International Conference on Multimedia"/>
    <n v="5"/>
    <x v="15"/>
  </r>
  <r>
    <x v="0"/>
    <s v="Journal of Manufacturing Systems"/>
    <n v="3"/>
    <x v="16"/>
  </r>
  <r>
    <x v="0"/>
    <s v="IEEE Internet of Things Journal"/>
    <n v="3"/>
    <x v="17"/>
  </r>
  <r>
    <x v="0"/>
    <s v="IEEE Access"/>
    <n v="1"/>
    <x v="18"/>
  </r>
  <r>
    <x v="0"/>
    <s v="International Journal of Advanced Manufacturing Technology"/>
    <n v="0"/>
    <x v="19"/>
  </r>
  <r>
    <x v="0"/>
    <s v="EMNLP 2024 - 2024 Conference on Empirical Methods in Natural Language Processing, Proceedings of the Industry Track"/>
    <n v="0"/>
    <x v="20"/>
  </r>
  <r>
    <x v="0"/>
    <s v="Scientific Reports"/>
    <n v="0"/>
    <x v="21"/>
  </r>
  <r>
    <x v="1"/>
    <s v="Artificial Intelligence Review"/>
    <n v="55"/>
    <x v="22"/>
  </r>
  <r>
    <x v="1"/>
    <s v="Journal of Intelligent Manufacturing"/>
    <n v="29"/>
    <x v="23"/>
  </r>
  <r>
    <x v="1"/>
    <s v="Advanced Engineering Informatics"/>
    <n v="6"/>
    <x v="24"/>
  </r>
  <r>
    <x v="1"/>
    <s v="Robotics and Computer-Integrated Manufacturing"/>
    <n v="6"/>
    <x v="25"/>
  </r>
  <r>
    <x v="1"/>
    <s v="Robotics and Computer-Integrated Manufacturing"/>
    <n v="5"/>
    <x v="16"/>
  </r>
  <r>
    <x v="1"/>
    <s v="IEEE Internet of Things Journal"/>
    <n v="4"/>
    <x v="26"/>
  </r>
  <r>
    <x v="1"/>
    <s v="Advanced Engineering Informatics"/>
    <n v="4"/>
    <x v="27"/>
  </r>
  <r>
    <x v="1"/>
    <s v="Journal of Manufacturing Systems"/>
    <n v="3"/>
    <x v="28"/>
  </r>
  <r>
    <x v="1"/>
    <s v="Advanced Engineering Informatics"/>
    <n v="3"/>
    <x v="29"/>
  </r>
  <r>
    <x v="1"/>
    <s v="Computers and Industrial Engineering"/>
    <n v="2"/>
    <x v="30"/>
  </r>
  <r>
    <x v="1"/>
    <s v="Journal of Intelligent Manufacturing"/>
    <n v="2"/>
    <x v="31"/>
  </r>
  <r>
    <x v="1"/>
    <s v="Advanced Engineering Informatics"/>
    <n v="2"/>
    <x v="32"/>
  </r>
  <r>
    <x v="1"/>
    <s v="Advanced Engineering Informatics"/>
    <n v="2"/>
    <x v="33"/>
  </r>
  <r>
    <x v="1"/>
    <s v="International Journal of Advanced Manufacturing Technology"/>
    <n v="2"/>
    <x v="34"/>
  </r>
  <r>
    <x v="1"/>
    <s v="Advanced Engineering Informatics"/>
    <n v="1"/>
    <x v="9"/>
  </r>
  <r>
    <x v="1"/>
    <s v="CIRP Annals"/>
    <n v="1"/>
    <x v="35"/>
  </r>
  <r>
    <x v="1"/>
    <s v="International Journal of Advanced Manufacturing Technology"/>
    <n v="1"/>
    <x v="31"/>
  </r>
  <r>
    <x v="1"/>
    <s v="Journal of Manufacturing Systems"/>
    <n v="1"/>
    <x v="36"/>
  </r>
  <r>
    <x v="1"/>
    <s v="Robotics and Computer-Integrated Manufacturing"/>
    <n v="1"/>
    <x v="37"/>
  </r>
  <r>
    <x v="1"/>
    <s v="IEEE Access"/>
    <n v="1"/>
    <x v="38"/>
  </r>
  <r>
    <x v="1"/>
    <s v="Journal of Intelligent Manufacturing"/>
    <n v="1"/>
    <x v="39"/>
  </r>
  <r>
    <x v="1"/>
    <s v="Advanced Engineering Informatics"/>
    <n v="1"/>
    <x v="40"/>
  </r>
  <r>
    <x v="1"/>
    <s v="IEEE Internet of Things Journal"/>
    <n v="1"/>
    <x v="41"/>
  </r>
  <r>
    <x v="1"/>
    <s v="Computers in Industry"/>
    <n v="0"/>
    <x v="16"/>
  </r>
  <r>
    <x v="1"/>
    <s v="International Journal of Production Research"/>
    <n v="0"/>
    <x v="42"/>
  </r>
  <r>
    <x v="1"/>
    <s v="IEEE Transactions on Automation Science and Engineering"/>
    <n v="0"/>
    <x v="43"/>
  </r>
  <r>
    <x v="1"/>
    <s v="Journal of Manufacturing Systems"/>
    <n v="0"/>
    <x v="44"/>
  </r>
  <r>
    <x v="1"/>
    <s v="Journal of Computing and Information Science in Engineering"/>
    <n v="0"/>
    <x v="7"/>
  </r>
  <r>
    <x v="1"/>
    <s v="IEEE Access"/>
    <n v="0"/>
    <x v="45"/>
  </r>
  <r>
    <x v="1"/>
    <s v="Advanced Engineering Informatics"/>
    <n v="0"/>
    <x v="46"/>
  </r>
  <r>
    <x v="1"/>
    <s v="Journal of Intelligent Manufacturing"/>
    <n v="0"/>
    <x v="47"/>
  </r>
  <r>
    <x v="1"/>
    <s v="IEEE Internet of Things Journal"/>
    <n v="0"/>
    <x v="48"/>
  </r>
  <r>
    <x v="1"/>
    <s v="CIRP Annals"/>
    <n v="0"/>
    <x v="43"/>
  </r>
  <r>
    <x v="1"/>
    <s v="Advanced Engineering Informatics"/>
    <n v="0"/>
    <x v="49"/>
  </r>
  <r>
    <x v="1"/>
    <s v="Advanced Engineering Informatics"/>
    <n v="0"/>
    <x v="50"/>
  </r>
  <r>
    <x v="1"/>
    <s v="Advanced Engineering Informatics"/>
    <n v="0"/>
    <x v="30"/>
  </r>
  <r>
    <x v="1"/>
    <s v="CIRP Annals"/>
    <n v="0"/>
    <x v="51"/>
  </r>
  <r>
    <x v="1"/>
    <s v="CIRP Annals"/>
    <n v="0"/>
    <x v="52"/>
  </r>
  <r>
    <x v="1"/>
    <s v="Computers and Industrial Engineering"/>
    <n v="0"/>
    <x v="14"/>
  </r>
  <r>
    <x v="1"/>
    <s v="International Journal of Production Research"/>
    <n v="0"/>
    <x v="53"/>
  </r>
  <r>
    <x v="1"/>
    <s v="International Journal of Advanced Manufacturing Technology"/>
    <n v="0"/>
    <x v="54"/>
  </r>
  <r>
    <x v="1"/>
    <s v="International Journal of Advanced Manufacturing Technology"/>
    <n v="0"/>
    <x v="11"/>
  </r>
  <r>
    <x v="1"/>
    <s v="Journal of Manufacturing Systems"/>
    <n v="0"/>
    <x v="55"/>
  </r>
  <r>
    <x v="1"/>
    <s v="Advanced Engineering Informatics"/>
    <n v="0"/>
    <x v="56"/>
  </r>
  <r>
    <x v="1"/>
    <s v="Proceedings of the AAAI Conference on Artificial Intelligence"/>
    <n v="0"/>
    <x v="57"/>
  </r>
  <r>
    <x v="1"/>
    <s v="IEEE Access"/>
    <n v="0"/>
    <x v="58"/>
  </r>
  <r>
    <x v="1"/>
    <s v="Advanced Engineering Informatics"/>
    <n v="0"/>
    <x v="59"/>
  </r>
  <r>
    <x v="1"/>
    <s v="CIRP Annals"/>
    <n v="0"/>
    <x v="60"/>
  </r>
  <r>
    <x v="2"/>
    <s v="Nature Communications"/>
    <n v="0"/>
    <x v="61"/>
  </r>
  <r>
    <x v="2"/>
    <s v="Robotics and Computer-Integrated Manufacturing"/>
    <n v="0"/>
    <x v="62"/>
  </r>
  <r>
    <x v="2"/>
    <s v="Advanced Engineering Informatics"/>
    <n v="0"/>
    <x v="63"/>
  </r>
  <r>
    <x v="2"/>
    <s v="Advanced Engineering Informatics"/>
    <n v="0"/>
    <x v="64"/>
  </r>
  <r>
    <x v="2"/>
    <s v="Robotics and Computer-Integrated Manufacturing"/>
    <n v="0"/>
    <x v="65"/>
  </r>
  <r>
    <x v="2"/>
    <s v="Robotics and Computer-Integrated Manufacturing"/>
    <n v="0"/>
    <x v="66"/>
  </r>
  <r>
    <x v="2"/>
    <s v="Robotics and Computer-Integrated Manufacturing"/>
    <n v="0"/>
    <x v="67"/>
  </r>
  <r>
    <x v="2"/>
    <s v="Robotics and Computer-Integrated Manufacturing"/>
    <n v="0"/>
    <x v="68"/>
  </r>
  <r>
    <x v="2"/>
    <s v="Robotics and Computer-Integrated Manufacturing"/>
    <n v="1"/>
    <x v="69"/>
  </r>
  <r>
    <x v="2"/>
    <s v="Robotics and Computer-Integrated Manufacturing"/>
    <n v="0"/>
    <x v="70"/>
  </r>
  <r>
    <x v="2"/>
    <s v="Robotics and Computer-Integrated Manufacturing"/>
    <n v="0"/>
    <x v="71"/>
  </r>
  <r>
    <x v="2"/>
    <s v="Robotics and Computer-Integrated Manufacturing"/>
    <n v="0"/>
    <x v="72"/>
  </r>
  <r>
    <x v="2"/>
    <s v="Expert Systems with Applications"/>
    <n v="0"/>
    <x v="73"/>
  </r>
  <r>
    <x v="2"/>
    <s v="Information Fusion"/>
    <n v="0"/>
    <x v="74"/>
  </r>
  <r>
    <x v="2"/>
    <s v="Journal of Manufacturing Systems"/>
    <n v="0"/>
    <x v="75"/>
  </r>
  <r>
    <x v="2"/>
    <s v="Journal of Manufacturing Systems"/>
    <n v="0"/>
    <x v="76"/>
  </r>
  <r>
    <x v="2"/>
    <s v="Journal of Manufacturing Systems"/>
    <n v="0"/>
    <x v="77"/>
  </r>
  <r>
    <x v="2"/>
    <s v="Robotics and Computer-Integrated Manufacturing"/>
    <n v="0"/>
    <x v="78"/>
  </r>
  <r>
    <x v="2"/>
    <s v="Robotics and Computer-Integrated Manufacturing"/>
    <n v="2"/>
    <x v="77"/>
  </r>
  <r>
    <x v="2"/>
    <s v="Robotics and Computer-Integrated Manufacturing"/>
    <n v="0"/>
    <x v="79"/>
  </r>
  <r>
    <x v="2"/>
    <s v="Robotics and Computer-Integrated Manufacturing"/>
    <n v="1"/>
    <x v="80"/>
  </r>
  <r>
    <x v="2"/>
    <s v="International Journal of Advanced Manufacturing Technology"/>
    <n v="0"/>
    <x v="81"/>
  </r>
  <r>
    <x v="2"/>
    <s v="IEEE Access"/>
    <n v="0"/>
    <x v="82"/>
  </r>
  <r>
    <x v="2"/>
    <s v="International Journal of Production Economics"/>
    <n v="0"/>
    <x v="83"/>
  </r>
  <r>
    <x v="2"/>
    <s v="Journal of Industrial Information Integration"/>
    <n v="1"/>
    <x v="84"/>
  </r>
  <r>
    <x v="2"/>
    <s v="Applied Soft Computing"/>
    <n v="0"/>
    <x v="85"/>
  </r>
  <r>
    <x v="2"/>
    <s v="Computers and Industrial Engineering"/>
    <n v="0"/>
    <x v="86"/>
  </r>
  <r>
    <x v="2"/>
    <s v="Advanced Engineering Informatics"/>
    <n v="1"/>
    <x v="87"/>
  </r>
  <r>
    <x v="1"/>
    <s v="Engineering Applications of Artificial Intelligence"/>
    <n v="0"/>
    <x v="88"/>
  </r>
  <r>
    <x v="1"/>
    <s v="International Journal of Advanced Manufacturing Technology"/>
    <n v="0"/>
    <x v="89"/>
  </r>
  <r>
    <x v="1"/>
    <s v="Journal of Manufacturing Systems"/>
    <n v="0"/>
    <x v="90"/>
  </r>
  <r>
    <x v="1"/>
    <s v="Journal of Manufacturing Systems"/>
    <n v="0"/>
    <x v="91"/>
  </r>
  <r>
    <x v="1"/>
    <s v="Journal of Manufacturing Systems"/>
    <n v="0"/>
    <x v="92"/>
  </r>
  <r>
    <x v="1"/>
    <s v="Journal of Manufacturing Systems"/>
    <n v="0"/>
    <x v="93"/>
  </r>
  <r>
    <x v="1"/>
    <s v="Applied Soft Computing"/>
    <n v="0"/>
    <x v="94"/>
  </r>
  <r>
    <x v="1"/>
    <s v="Journal of Systems and Software"/>
    <n v="1"/>
    <x v="95"/>
  </r>
  <r>
    <x v="1"/>
    <s v="Journal of Manufacturing Systems"/>
    <n v="0"/>
    <x v="96"/>
  </r>
  <r>
    <x v="1"/>
    <s v="Journal of Industrial Information Integration"/>
    <n v="0"/>
    <x v="97"/>
  </r>
  <r>
    <x v="1"/>
    <s v="Advanced Engineering Informatics"/>
    <n v="1"/>
    <x v="98"/>
  </r>
  <r>
    <x v="1"/>
    <s v="Advanced Engineering Informatics"/>
    <n v="1"/>
    <x v="99"/>
  </r>
  <r>
    <x v="1"/>
    <s v="Advanced Engineering Informatics"/>
    <n v="2"/>
    <x v="100"/>
  </r>
  <r>
    <x v="1"/>
    <s v="Advanced Engineering Informatics"/>
    <n v="2"/>
    <x v="101"/>
  </r>
  <r>
    <x v="1"/>
    <s v="Journal of Manufacturing Systems"/>
    <n v="0"/>
    <x v="102"/>
  </r>
  <r>
    <x v="1"/>
    <s v="Journal of Manufacturing Systems"/>
    <n v="1"/>
    <x v="103"/>
  </r>
  <r>
    <x v="1"/>
    <s v="Computers in Industry"/>
    <n v="0"/>
    <x v="101"/>
  </r>
  <r>
    <x v="1"/>
    <s v="International Journal of Advanced Manufacturing Technology"/>
    <n v="0"/>
    <x v="104"/>
  </r>
  <r>
    <x v="1"/>
    <s v="Information Fusion"/>
    <n v="3"/>
    <x v="105"/>
  </r>
  <r>
    <x v="1"/>
    <s v="International Journal of Production Research"/>
    <n v="0"/>
    <x v="106"/>
  </r>
  <r>
    <x v="1"/>
    <s v="IEEE Access"/>
    <n v="0"/>
    <x v="107"/>
  </r>
  <r>
    <x v="1"/>
    <s v="IEEE Internet of Things Journal"/>
    <n v="1"/>
    <x v="108"/>
  </r>
  <r>
    <x v="1"/>
    <s v="IEEE Transactions on Automation Science and Engineering"/>
    <n v="1"/>
    <x v="109"/>
  </r>
  <r>
    <x v="1"/>
    <s v="International Journal of Production Research"/>
    <n v="0"/>
    <x v="110"/>
  </r>
  <r>
    <x v="1"/>
    <s v="Journal of Intelligent Manufacturing"/>
    <n v="0"/>
    <x v="111"/>
  </r>
  <r>
    <x v="1"/>
    <s v="Journal of Intelligent Manufacturing"/>
    <n v="0"/>
    <x v="112"/>
  </r>
  <r>
    <x v="1"/>
    <s v="International Journal of Production Research"/>
    <n v="0"/>
    <x v="113"/>
  </r>
  <r>
    <x v="1"/>
    <s v="IEEE Transactions on Automation Science and Engineering"/>
    <n v="0"/>
    <x v="72"/>
  </r>
  <r>
    <x v="1"/>
    <s v="Expert Systems with Applications"/>
    <n v="0"/>
    <x v="114"/>
  </r>
  <r>
    <x v="1"/>
    <s v="IEEE Internet of Things Journal"/>
    <n v="0"/>
    <x v="115"/>
  </r>
  <r>
    <x v="1"/>
    <s v="International Journal of Production Research"/>
    <n v="0"/>
    <x v="116"/>
  </r>
  <r>
    <x v="1"/>
    <s v="International Journal of Production Research"/>
    <n v="2"/>
    <x v="117"/>
  </r>
  <r>
    <x v="0"/>
    <s v="Computers and Industrial Engineering"/>
    <n v="11"/>
    <x v="118"/>
  </r>
  <r>
    <x v="0"/>
    <s v="IEEE Transactions on Computational Social Systems"/>
    <n v="6"/>
    <x v="119"/>
  </r>
  <r>
    <x v="0"/>
    <s v="Proceedings - IEEE International Conference on Robotics and Automation"/>
    <n v="4"/>
    <x v="120"/>
  </r>
  <r>
    <x v="3"/>
    <m/>
    <m/>
    <x v="121"/>
  </r>
  <r>
    <x v="3"/>
    <m/>
    <m/>
    <x v="121"/>
  </r>
  <r>
    <x v="3"/>
    <m/>
    <m/>
    <x v="121"/>
  </r>
  <r>
    <x v="3"/>
    <m/>
    <m/>
    <x v="12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
  <r>
    <x v="0"/>
  </r>
  <r>
    <x v="0"/>
  </r>
  <r>
    <x v="0"/>
  </r>
  <r>
    <x v="0"/>
  </r>
  <r>
    <x v="0"/>
  </r>
  <r>
    <x v="0"/>
  </r>
  <r>
    <x v="0"/>
  </r>
  <r>
    <x v="0"/>
  </r>
  <r>
    <x v="0"/>
  </r>
  <r>
    <x v="1"/>
  </r>
  <r>
    <x v="1"/>
  </r>
  <r>
    <x v="1"/>
  </r>
  <r>
    <x v="1"/>
  </r>
  <r>
    <x v="1"/>
  </r>
  <r>
    <x v="0"/>
  </r>
  <r>
    <x v="0"/>
  </r>
  <r>
    <x v="0"/>
  </r>
  <r>
    <x v="0"/>
  </r>
  <r>
    <x v="0"/>
  </r>
  <r>
    <x v="0"/>
  </r>
  <r>
    <x v="0"/>
  </r>
  <r>
    <x v="0"/>
  </r>
  <r>
    <x v="0"/>
  </r>
  <r>
    <x v="2"/>
  </r>
  <r>
    <x v="3"/>
  </r>
  <r>
    <x v="3"/>
  </r>
  <r>
    <x v="3"/>
  </r>
  <r>
    <x v="3"/>
  </r>
  <r>
    <x v="3"/>
  </r>
  <r>
    <x v="3"/>
  </r>
  <r>
    <x v="3"/>
  </r>
  <r>
    <x v="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r>
  <r>
    <x v="1"/>
  </r>
  <r>
    <x v="2"/>
  </r>
  <r>
    <x v="3"/>
  </r>
  <r>
    <x v="0"/>
  </r>
  <r>
    <x v="4"/>
  </r>
  <r>
    <x v="5"/>
  </r>
  <r>
    <x v="6"/>
  </r>
  <r>
    <x v="7"/>
  </r>
  <r>
    <x v="8"/>
  </r>
  <r>
    <x v="7"/>
  </r>
  <r>
    <x v="9"/>
  </r>
  <r>
    <x v="10"/>
  </r>
  <r>
    <x v="11"/>
  </r>
  <r>
    <x v="12"/>
  </r>
  <r>
    <x v="13"/>
  </r>
  <r>
    <x v="14"/>
  </r>
  <r>
    <x v="15"/>
  </r>
  <r>
    <x v="16"/>
  </r>
  <r>
    <x v="17"/>
  </r>
  <r>
    <x v="18"/>
  </r>
  <r>
    <x v="19"/>
  </r>
  <r>
    <x v="20"/>
  </r>
  <r>
    <x v="21"/>
  </r>
  <r>
    <x v="22"/>
  </r>
  <r>
    <x v="23"/>
  </r>
  <r>
    <x v="24"/>
  </r>
  <r>
    <x v="25"/>
  </r>
  <r>
    <x v="26"/>
  </r>
  <r>
    <x v="27"/>
  </r>
  <r>
    <x v="28"/>
  </r>
  <r>
    <x v="29"/>
  </r>
  <r>
    <x v="30"/>
  </r>
  <r>
    <x v="28"/>
  </r>
  <r>
    <x v="31"/>
  </r>
  <r>
    <x v="32"/>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r>
  <r>
    <x v="1"/>
  </r>
  <r>
    <x v="2"/>
  </r>
  <r>
    <x v="3"/>
  </r>
  <r>
    <x v="0"/>
  </r>
  <r>
    <x v="4"/>
  </r>
  <r>
    <x v="5"/>
  </r>
  <r>
    <x v="6"/>
  </r>
  <r>
    <x v="7"/>
  </r>
  <r>
    <x v="8"/>
  </r>
  <r>
    <x v="7"/>
  </r>
  <r>
    <x v="9"/>
  </r>
  <r>
    <x v="10"/>
  </r>
  <r>
    <x v="11"/>
  </r>
  <r>
    <x v="12"/>
  </r>
  <r>
    <x v="13"/>
  </r>
  <r>
    <x v="14"/>
  </r>
  <r>
    <x v="15"/>
  </r>
  <r>
    <x v="16"/>
  </r>
  <r>
    <x v="17"/>
  </r>
  <r>
    <x v="18"/>
  </r>
  <r>
    <x v="19"/>
  </r>
  <r>
    <x v="20"/>
  </r>
  <r>
    <x v="21"/>
  </r>
  <r>
    <x v="22"/>
  </r>
  <r>
    <x v="23"/>
  </r>
  <r>
    <x v="24"/>
  </r>
  <r>
    <x v="25"/>
  </r>
  <r>
    <x v="26"/>
  </r>
  <r>
    <x v="27"/>
  </r>
  <r>
    <x v="28"/>
  </r>
  <r>
    <x v="29"/>
  </r>
  <r>
    <x v="30"/>
  </r>
  <r>
    <x v="28"/>
  </r>
  <r>
    <x v="31"/>
  </r>
  <r>
    <x v="32"/>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7">
  <r>
    <s v="Zhou B.; Li X.; Liu T.; Xu K.; Liu W.; Bao J."/>
    <n v="2024"/>
    <x v="0"/>
    <n v="61"/>
    <s v="Zhou B."/>
  </r>
  <r>
    <s v="Xia L.; Li C.; Zhang C.; Liu S.; Zheng P."/>
    <n v="2024"/>
    <x v="1"/>
    <n v="45"/>
    <s v="Xia L."/>
  </r>
  <r>
    <s v="Jackson I.; Jesus Saenz M.; Ivanov D."/>
    <n v="2024"/>
    <x v="2"/>
    <n v="44"/>
    <s v="Jackson I."/>
  </r>
  <r>
    <s v="Gkournelos C.; Konstantinou C.; Makris S., (2)"/>
    <n v="2024"/>
    <x v="3"/>
    <n v="35"/>
    <s v="Gkournelos C."/>
  </r>
  <r>
    <s v="Wang T.; Fan J.; Zheng P."/>
    <n v="2024"/>
    <x v="4"/>
    <n v="29"/>
    <s v="Wang T."/>
  </r>
  <r>
    <s v="Sun Y.; Zhang Q.; Bao J.; Lu Y.; Liu S."/>
    <n v="2024"/>
    <x v="4"/>
    <n v="26"/>
    <s v="Sun Y."/>
  </r>
  <r>
    <s v="Zheng P.; Li C.; Fan J.; Wang L."/>
    <n v="2024"/>
    <x v="3"/>
    <n v="16"/>
    <s v="Zheng P."/>
  </r>
  <r>
    <s v="Li Y.; Starly B."/>
    <n v="2024"/>
    <x v="5"/>
    <n v="14"/>
    <s v="Li Y."/>
  </r>
  <r>
    <s v="Fan J.; Zheng P."/>
    <n v="2024"/>
    <x v="4"/>
    <n v="12"/>
    <s v="Fan J."/>
  </r>
  <r>
    <s v="Xu Q.; Zhou G.; Zhang C.; Chang F.; Cao Y.; Zhao D."/>
    <n v="2024"/>
    <x v="6"/>
    <n v="10"/>
    <s v="Xu Q."/>
  </r>
  <r>
    <s v="Colabianchi S.; Costantino F.; Sabetta N."/>
    <n v="2024"/>
    <x v="7"/>
    <n v="10"/>
    <s v="Colabianchi S."/>
  </r>
  <r>
    <s v="Shahin M.; Chen F.F.; Hosseinzadeh A.; Maghanaki M.; Eghbalian A."/>
    <n v="2024"/>
    <x v="6"/>
    <n v="9"/>
    <s v="Shahin M."/>
  </r>
  <r>
    <s v="Wang P.; Karigiannis J.; Gao R.X."/>
    <n v="2024"/>
    <x v="3"/>
    <n v="8"/>
    <s v="Wang P."/>
  </r>
  <r>
    <s v="Fu T.; Liu S.; Li P."/>
    <n v="2024"/>
    <x v="8"/>
    <n v="7"/>
    <s v="Fu T."/>
  </r>
  <r>
    <s v="Wu T.; Li J.; Bao J.; Liu Q."/>
    <n v="2024"/>
    <x v="4"/>
    <n v="7"/>
    <s v="Wu T."/>
  </r>
  <r>
    <s v="Zhu J.; Cai S.; Deng F.; Ooi B.C.; Wu J."/>
    <n v="2024"/>
    <x v="9"/>
    <n v="5"/>
    <s v="Zhu J."/>
  </r>
  <r>
    <s v="Shi D.; Liedl P.; Bauernhansl T."/>
    <n v="2024"/>
    <x v="4"/>
    <n v="3"/>
    <s v="Shi D."/>
  </r>
  <r>
    <s v="Liu Y.; Zhang W.; Bao Z.; Chai X.; Gu M.; Jiang W.; Zhang Z.; Tian Y.; Wang F.-Y."/>
    <n v="2024"/>
    <x v="10"/>
    <n v="3"/>
    <s v="Liu Y."/>
  </r>
  <r>
    <s v="Cheamsiri W.; Jitpattanakul A.; Muneesawang P.; Wongpatikaseree K.; Hnoohom N."/>
    <n v="2024"/>
    <x v="11"/>
    <n v="1"/>
    <s v="Cheamsiri W."/>
  </r>
  <r>
    <s v="Cao S.; Lim W.H.; Zhu Y.J.; Li T.Y.; Liu Z.H.; Sheng H.Y."/>
    <n v="2024"/>
    <x v="6"/>
    <n v="0"/>
    <s v="Cao S."/>
  </r>
  <r>
    <s v="Cheng Z.-Q.; Dong Y.; Shi A.; Liu W.; Hu Y.; O’Connor J.; Hauptmann A.G.; Whitefoot K.S."/>
    <n v="2024"/>
    <x v="12"/>
    <n v="0"/>
    <s v="Cheng Z.-Q."/>
  </r>
  <r>
    <s v="Ji Y.; Zhang Z.; Tang D.; Zheng Y.; Liu C.; Zhao Z.; Li X."/>
    <n v="2024"/>
    <x v="13"/>
    <n v="0"/>
    <s v="Ji Y."/>
  </r>
  <r>
    <s v="Picard C.; Edwards K.M.; Doris A.C.; Man B.; Giannone G.; Alam M.F.; Ahmed F."/>
    <n v="2025"/>
    <x v="14"/>
    <n v="55"/>
    <s v="Picard C."/>
  </r>
  <r>
    <s v="Fan H.; Liu X.; Fuh J.Y.H.; Lu W.F.; Li B."/>
    <n v="2025"/>
    <x v="15"/>
    <n v="29"/>
    <s v="Fan H."/>
  </r>
  <r>
    <s v="Heredia Álvaro J.A.; Barreda J.G."/>
    <n v="2025"/>
    <x v="0"/>
    <n v="6"/>
    <s v="Heredia Álvaro J.A."/>
  </r>
  <r>
    <s v="Liu X.; Erkoyuncu J.A.; Fuh J.Y.H.; Lu W.F.; Li B."/>
    <n v="2025"/>
    <x v="1"/>
    <n v="6"/>
    <s v="Liu X."/>
  </r>
  <r>
    <s v="Shi D.; Meyer O.; Oberle M.; Bauernhansl T."/>
    <n v="2025"/>
    <x v="1"/>
    <n v="5"/>
    <s v="Shi D."/>
  </r>
  <r>
    <s v="Xia Y.; Chen Y.; Zhao Y.; Kuang L.; Liu X.; Hu J.; Liu Z."/>
    <n v="2025"/>
    <x v="10"/>
    <n v="4"/>
    <s v="Xia Y."/>
  </r>
  <r>
    <s v="Liao X.; Chen C.; Wang Z.; Liu Y.; Wang T.; Cheng L."/>
    <n v="2025"/>
    <x v="0"/>
    <n v="4"/>
    <s v="Liao X."/>
  </r>
  <r>
    <s v="Jeon J.; Sim Y.; Lee H.; Han C.; Yun D.; Kim E.; Nagendra S.L.; Jun M.B.G.; Kim Y.; Lee S.W.; Lee J."/>
    <n v="2025"/>
    <x v="4"/>
    <n v="3"/>
    <s v="Jeon J."/>
  </r>
  <r>
    <s v="Wen S.; Li F.; Zhuang W.; Pan X.; Yu W.; Bao J.; Li X."/>
    <n v="2025"/>
    <x v="0"/>
    <n v="3"/>
    <s v="Wen S."/>
  </r>
  <r>
    <s v="Liu C.; Nie Q."/>
    <n v="2025"/>
    <x v="16"/>
    <n v="2"/>
    <s v="Liu C."/>
  </r>
  <r>
    <s v="Wu P.; Tu H.; Mou X.; Gong L."/>
    <n v="2025"/>
    <x v="15"/>
    <n v="2"/>
    <s v="Wu P."/>
  </r>
  <r>
    <s v="Du K.; Yang B.; Xie K.; Dong N.; Zhang Z.; Wang S.; Mo F."/>
    <n v="2025"/>
    <x v="0"/>
    <n v="2"/>
    <s v="Du K."/>
  </r>
  <r>
    <s v="Wan Y.; Chen Z.; Liu Y.; Chen C.; Packianather M."/>
    <n v="2025"/>
    <x v="0"/>
    <n v="2"/>
    <s v="Wan Y."/>
  </r>
  <r>
    <s v="Kiangala K.S.; Wang Z."/>
    <n v="2025"/>
    <x v="6"/>
    <n v="2"/>
    <s v="Kiangala K.S."/>
  </r>
  <r>
    <s v="Xu Q.; Qiu F.; Zhou G.; Zhang C.; Ding K.; Chang F.; Lu F.; Yu Y.; Ma D.; Liu J."/>
    <n v="2025"/>
    <x v="0"/>
    <n v="1"/>
    <s v="Xu Q."/>
  </r>
  <r>
    <s v="Yin Y.; Wan K.; Li C.; Zheng P., (2)"/>
    <n v="2025"/>
    <x v="3"/>
    <n v="1"/>
    <s v="Yin Y."/>
  </r>
  <r>
    <s v="Wu P.; Mou X.; Gong L.; Tu H.; Qiu L.; Yang B."/>
    <n v="2025"/>
    <x v="6"/>
    <n v="1"/>
    <s v="Wu P."/>
  </r>
  <r>
    <s v="Gautam A.; Aryal M.R.; Deshpande S.; Padalkar S.; Nikolaenko M.; Tang M.; Anand S."/>
    <n v="2025"/>
    <x v="4"/>
    <n v="1"/>
    <s v="Gautam A."/>
  </r>
  <r>
    <s v="Lin X.; Chen W.; Zhou Z.; Li J.; Zhao Y.; Zhang X."/>
    <n v="2025"/>
    <x v="1"/>
    <n v="1"/>
    <s v="Lin X."/>
  </r>
  <r>
    <s v="Keskin Z.; Joosten D.; Klasen N.; Huber M.; Liu C.; Drescher B.; Schmitt R.H."/>
    <n v="2025"/>
    <x v="11"/>
    <n v="1"/>
    <s v="Keskin Z."/>
  </r>
  <r>
    <s v="Garcia-Perez A.; Gomez-Silva M.J.; de la Escalera-Hueso A."/>
    <n v="2025"/>
    <x v="15"/>
    <n v="1"/>
    <s v="Garcia-Perez A."/>
  </r>
  <r>
    <s v="Shim M.; Choi H.; Koo H.; Um K.; Lee K.-H.; Lee S."/>
    <n v="2025"/>
    <x v="0"/>
    <n v="1"/>
    <s v="Shim M."/>
  </r>
  <r>
    <s v="Feng P.; Yang T.; Liang M.; Wang L.; Gao Y."/>
    <n v="2025"/>
    <x v="10"/>
    <n v="1"/>
    <s v="Feng P."/>
  </r>
  <r>
    <s v="Shi D.; Li J.; Meyer O.; Bauernhansl T."/>
    <n v="2025"/>
    <x v="7"/>
    <n v="0"/>
    <s v="Shi D."/>
  </r>
  <r>
    <s v="Ma Y.; Zheng S.; Yang Z.; Pan H.; Hong J."/>
    <n v="2025"/>
    <x v="2"/>
    <n v="0"/>
    <s v="Ma Y."/>
  </r>
  <r>
    <s v="Li X.; He B.; Wang Z.; Zhou Y.; Li G.; Li X."/>
    <n v="2025"/>
    <x v="17"/>
    <n v="0"/>
    <s v="Li X."/>
  </r>
  <r>
    <s v="Wang X.; Jiang Z.; Xiong Y.; Liu A."/>
    <n v="2025"/>
    <x v="4"/>
    <n v="0"/>
    <s v="Wang X."/>
  </r>
  <r>
    <s v="Li Y.; Ko H.; Ameri F."/>
    <n v="2025"/>
    <x v="18"/>
    <n v="0"/>
    <s v="Li Y."/>
  </r>
  <r>
    <s v="Tan J.; Shi J.; Wu L.; Chen B.; Tang H.; Zhang C.; Zhang W.; Wan J.; Wang S."/>
    <n v="2025"/>
    <x v="11"/>
    <n v="0"/>
    <s v="Tan J."/>
  </r>
  <r>
    <s v="Yang S.; Song S.; Song R.; Cheng J.; Li Y.; Zhang W."/>
    <n v="2025"/>
    <x v="0"/>
    <n v="0"/>
    <s v="Yang S."/>
  </r>
  <r>
    <s v="Naghavi Khanghah K.; Patel A.; Malhotra R.; Xu H."/>
    <n v="2025"/>
    <x v="15"/>
    <n v="0"/>
    <s v="Naghavi Khanghah K."/>
  </r>
  <r>
    <s v="Wang Y.; Pang Y.; Liu Y.; Zhang Y.; Zhang L.; Zhang M.; Wang D."/>
    <n v="2025"/>
    <x v="10"/>
    <n v="0"/>
    <s v="Wang Y."/>
  </r>
  <r>
    <s v="Li X.; Nassehi A., (1); Hu S.J., (1); Joung B.G.; Gao R.X., (1)"/>
    <n v="2025"/>
    <x v="3"/>
    <n v="0"/>
    <s v="Li X."/>
  </r>
  <r>
    <s v="Wang B.; Zhao X.; Zuo H.; Song Y.; Han J.; Childs P.; Chen L."/>
    <n v="2025"/>
    <x v="0"/>
    <n v="0"/>
    <s v="Wang B."/>
  </r>
  <r>
    <s v="Wang Z.; Wan C.; Liu J.; Zhang X.; Wang H.; Hu Y.; Hu Z."/>
    <n v="2025"/>
    <x v="0"/>
    <n v="0"/>
    <s v="Wang Z."/>
  </r>
  <r>
    <s v="Liu C.; Song J.; Tang D.; Wang L.; Zhu H.; Cai Q."/>
    <n v="2025"/>
    <x v="0"/>
    <n v="0"/>
    <s v="Liu C."/>
  </r>
  <r>
    <s v="Jiang Z.; Liu A.; Zhang D.; Xu X.; Dai Y."/>
    <n v="2025"/>
    <x v="3"/>
    <n v="0"/>
    <s v="Jiang Z."/>
  </r>
  <r>
    <s v="Simeone A.; Fan Y.; Antonelli D.; Priarone P.C.; Settineri L."/>
    <n v="2025"/>
    <x v="3"/>
    <n v="0"/>
    <s v="Simeone A."/>
  </r>
  <r>
    <s v="Wu T.; Li J.; Bao J.; Liu Q."/>
    <n v="2025"/>
    <x v="16"/>
    <n v="0"/>
    <s v="Wu T."/>
  </r>
  <r>
    <s v="Zhuang W.; Pan X.; Wen S.; Yu W.; Li X.; Bao J."/>
    <n v="2025"/>
    <x v="2"/>
    <n v="0"/>
    <s v="Zhuang W."/>
  </r>
  <r>
    <s v="Daareyni A.; Martikkala A.; Mokhtarian H.; Ituarte I.F."/>
    <n v="2025"/>
    <x v="6"/>
    <n v="0"/>
    <s v="Daareyni A."/>
  </r>
  <r>
    <s v="Shahin M.; Chen F.F.; Maghanaki M.; Mehrzadi H.; Hosseinzadeh A."/>
    <n v="2025"/>
    <x v="6"/>
    <n v="0"/>
    <s v="Shahin M."/>
  </r>
  <r>
    <s v="Yuan Z.; Li M.; Liu C.; Han F.; Huang H.; Dai H.-N."/>
    <n v="2025"/>
    <x v="4"/>
    <n v="0"/>
    <s v="Yuan Z."/>
  </r>
  <r>
    <s v="Sahadevan V.; Joshi R.; Borg K.; Singh V.; Singh A.R.; Muhammed B.; Beemaraj S.B.; Joshi A."/>
    <n v="2025"/>
    <x v="0"/>
    <n v="0"/>
    <s v="Sahadevan V."/>
  </r>
  <r>
    <s v="Chen G.; Yang H.; Yu B.; Ren H."/>
    <n v="2025"/>
    <x v="19"/>
    <n v="0"/>
    <s v="Chen G."/>
  </r>
  <r>
    <s v="Alam L.; Kehtarnavaz N."/>
    <n v="2025"/>
    <x v="11"/>
    <n v="0"/>
    <s v="Alam L."/>
  </r>
  <r>
    <s v="Duan C.; Wu D."/>
    <n v="2025"/>
    <x v="0"/>
    <n v="0"/>
    <s v="Duan C."/>
  </r>
  <r>
    <s v="Dimitropoulos N.; Kaipis M.; Giartzas S.; Michalos G., (2)"/>
    <n v="2025"/>
    <x v="3"/>
    <n v="0"/>
    <s v="Dimitropoulos N."/>
  </r>
  <r>
    <s v="Zhao, L.; Sun, Y.; Ren, J.; Gao, H.; Xiao, G."/>
    <n v="2026"/>
    <x v="20"/>
    <n v="0"/>
    <s v="Zhao, L."/>
  </r>
  <r>
    <s v="Li, L.; Zhang, Y.; Makanda, I.L.D.; Jiang, P."/>
    <n v="2026"/>
    <x v="1"/>
    <n v="0"/>
    <s v="Li, L."/>
  </r>
  <r>
    <s v="Gu, W.; Cao, Y.; Li, Y.; Li, N.; Wang, L.; Tang, N.; Yuan, M.; Pei, F."/>
    <n v="2026"/>
    <x v="0"/>
    <n v="0"/>
    <s v="Gu, W."/>
  </r>
  <r>
    <s v="Liu, Z.; Hu, B.; Feng, Y.; Lu, C.; Tan, J."/>
    <n v="2026"/>
    <x v="0"/>
    <n v="0"/>
    <s v="Liu, Z."/>
  </r>
  <r>
    <s v="Wang, S.; Tan, Z.; Wang, Y.; Zhou, Z.; Zhu, D."/>
    <n v="2026"/>
    <x v="1"/>
    <n v="0"/>
    <s v="Wang, S."/>
  </r>
  <r>
    <s v="Liu, S.; Jiacheng, J.; Wang, X.; Qiao, X."/>
    <n v="2026"/>
    <x v="1"/>
    <n v="0"/>
    <s v="Liu, S."/>
  </r>
  <r>
    <s v="Tong, X.; Li, K.; Bao, J."/>
    <n v="2026"/>
    <x v="1"/>
    <n v="0"/>
    <s v="Tong, X."/>
  </r>
  <r>
    <s v="Alenjareghi, M.J.; Ghorbani, F.; Keivanpour, S.; Chinniah, Y.A.; Jocelyn, S."/>
    <n v="2026"/>
    <x v="1"/>
    <n v="0"/>
    <s v="Alenjareghi, M.J."/>
  </r>
  <r>
    <s v="Chen, J.; Huang, S.; Wang, X.; Wang, P.; Zhu, J.; Xu, Z.; Wang, G.; Yan, Y.; Wang, L."/>
    <n v="2026"/>
    <x v="1"/>
    <n v="1"/>
    <s v="Chen, J."/>
  </r>
  <r>
    <s v="Zhou, Q.; Gu, Y.; Li, J.; Feng, B.; Li, B.; Bi, Y."/>
    <n v="2026"/>
    <x v="1"/>
    <n v="0"/>
    <s v="Zhou, Q."/>
  </r>
  <r>
    <s v="Tasneem, O.; Pieters, R."/>
    <n v="2026"/>
    <x v="1"/>
    <n v="0"/>
    <s v="Tasneem, O."/>
  </r>
  <r>
    <s v="Ding, P.; Zhang, J.; Zhang, P.; Li, H.; Wang, D."/>
    <n v="2026"/>
    <x v="1"/>
    <n v="0"/>
    <s v="Ding, P."/>
  </r>
  <r>
    <s v="Wang, W.; Zhou, P."/>
    <n v="2026"/>
    <x v="21"/>
    <n v="0"/>
    <s v="Wang, W."/>
  </r>
  <r>
    <s v="Chen, H.; Que, J.; Zhu, K.; Chen, Z.; Zhu, F.; Yang, W.; Yang, X.; Yang, X."/>
    <n v="2026"/>
    <x v="22"/>
    <n v="0"/>
    <s v="Chen, H."/>
  </r>
  <r>
    <s v="Liu, C.; Tang, D.; Zhu, H.; Wang, L.; Cai, Q.; Nie, Q."/>
    <n v="2026"/>
    <x v="4"/>
    <n v="0"/>
    <s v="Liu, C."/>
  </r>
  <r>
    <s v="Wu, T.; Li, J.; Liu, Q.; Bao, J."/>
    <n v="2026"/>
    <x v="4"/>
    <n v="0"/>
    <s v="Wu, T."/>
  </r>
  <r>
    <s v="Ma, Y.; Zheng, S.; Yang, Z.; Zheng, P.; Leng, J.; Hong, J."/>
    <n v="2026"/>
    <x v="4"/>
    <n v="0"/>
    <s v="Ma, Y."/>
  </r>
  <r>
    <s v="Wang, Y.; Guo, Q.; Zheng, L.; Wang, B.; Zheng, P.; Qi, Z."/>
    <n v="2026"/>
    <x v="1"/>
    <n v="0"/>
    <s v="Wang, Y."/>
  </r>
  <r>
    <s v="Ma, Y.; Tang, D.; Zhu, H.; Cai, Q.; Zhang, Z.; Wang, L.; Liu, C."/>
    <n v="2026"/>
    <x v="1"/>
    <n v="2"/>
    <s v="Ma, Y."/>
  </r>
  <r>
    <s v="Shi, D.; Meyer, O.; Fan, Z.; Wang, H.; Bauernhansl, T."/>
    <n v="2026"/>
    <x v="1"/>
    <n v="0"/>
    <s v="Shi, D."/>
  </r>
  <r>
    <s v="Safari, A.; Kharrati, H.; Rahimi, A.; Tavallaei, M.A."/>
    <n v="2026"/>
    <x v="1"/>
    <n v="1"/>
    <s v="Safari, A."/>
  </r>
  <r>
    <s v="Barot, M.; Kim, J.; Won, D.; Yoon, S.W."/>
    <n v="2026"/>
    <x v="6"/>
    <n v="0"/>
    <s v="Barot, M."/>
  </r>
  <r>
    <s v="Zhang, C.; Liu, B.; Yao, X.; Jing, X."/>
    <n v="2026"/>
    <x v="11"/>
    <n v="0"/>
    <s v="Zhang, C."/>
  </r>
  <r>
    <s v="Genetti, S.; Scarton, G.; Formentini, M.; Iacca, G."/>
    <n v="2026"/>
    <x v="23"/>
    <n v="0"/>
    <s v="Genetti, S."/>
  </r>
  <r>
    <s v="Gong, W.; Qiao, S.; Cao, C.; Tan, S.; Ye, J.; Liu, H.; Chen, S.; Wang, X."/>
    <n v="2026"/>
    <x v="5"/>
    <n v="1"/>
    <s v="Gong, W."/>
  </r>
  <r>
    <s v="Liu, P.; Zhang, Y.; Yang, Y.; Zhao, X.; Tao, B."/>
    <n v="2026"/>
    <x v="24"/>
    <n v="0"/>
    <s v="Liu, P."/>
  </r>
  <r>
    <s v="Fan, S.-K.S.; Wang, J.-T.; Jen, C.-H."/>
    <n v="2026"/>
    <x v="16"/>
    <n v="0"/>
    <s v="Fan, S.-K.S."/>
  </r>
  <r>
    <s v="Zhao, Z.; Tang, D.; Liu, C.; Wang, L.; Zhang, Z.; Zhu, H.; Chen, K.; Nie, Q.; Ji, Y."/>
    <n v="2026"/>
    <x v="0"/>
    <n v="1"/>
    <s v="Zhao, Z."/>
  </r>
  <r>
    <s v="Liu, J.; An, J.; Lu, J.; Yang, Z.; Wang, J.; Lu, P.; Wang, Y.; Shen, L."/>
    <n v="2025"/>
    <x v="25"/>
    <n v="0"/>
    <s v="Liu, J."/>
  </r>
  <r>
    <s v="Chen, T.-C.T.; Chiu, M.-C.; Lin, Y.-C."/>
    <n v="2025"/>
    <x v="6"/>
    <n v="0"/>
    <s v="Chen, T.-C.T."/>
  </r>
  <r>
    <s v="Dong, W.; Li, D.; Ji, Y.; Chen, H.; Liu, S.; Ma, Z.; Hao, F.; Ji, Y.; Xing, H.; Zheng, P."/>
    <n v="2025"/>
    <x v="4"/>
    <n v="0"/>
    <s v="Dong, W."/>
  </r>
  <r>
    <s v="Gui, H.; Yang, Z.; Rachana Harish, A.R.; Ren, C.; Yang, Y.; Li, M."/>
    <n v="2025"/>
    <x v="4"/>
    <n v="0"/>
    <s v="Gui, H."/>
  </r>
  <r>
    <s v="Lee, J.; Kim, J.-Y.; Kim, H.; Lee, I.; Ryu, S."/>
    <n v="2025"/>
    <x v="4"/>
    <n v="0"/>
    <s v="Lee, J."/>
  </r>
  <r>
    <s v="Lin, J.; Wang, J.; Feng, P.; Zhang, X.; Yu, D.; Zhang, J."/>
    <n v="2025"/>
    <x v="4"/>
    <n v="0"/>
    <s v="Lin, J."/>
  </r>
  <r>
    <s v="Gu, S.; Lei, Z.; Wen, G.; Xu, Q.; Li, Z.S.; Chen, X.; Yang, C."/>
    <n v="2025"/>
    <x v="24"/>
    <n v="0"/>
    <s v="Gu, S."/>
  </r>
  <r>
    <s v="Karabiyik, M.A."/>
    <n v="2025"/>
    <x v="26"/>
    <n v="1"/>
    <s v="Karabiyik, M.A."/>
  </r>
  <r>
    <s v="Li, C.; Chang, Q."/>
    <n v="2025"/>
    <x v="4"/>
    <n v="0"/>
    <s v="Li, C."/>
  </r>
  <r>
    <s v="Karapanagiotis, P.; Kottagaha, K.; Rovere, D.; Bokhorst, J.A.C.; Valdata, A.; Emmanouilidis, C."/>
    <n v="2025"/>
    <x v="5"/>
    <n v="0"/>
    <s v="Karapanagiotis, P."/>
  </r>
  <r>
    <s v="Wang, P.; Hu, Q.; Mei, Q.; Wang, S.; Yang, Y.; Guo, D.; Liu, X.; Hu, W.; Chen, J."/>
    <n v="2025"/>
    <x v="0"/>
    <n v="1"/>
    <s v="Wang, P."/>
  </r>
  <r>
    <s v="Xiong, X.; Cai, H.; Yu, H.; Shen, B.; Hu, P."/>
    <n v="2025"/>
    <x v="0"/>
    <n v="1"/>
    <s v="Xiong, X."/>
  </r>
  <r>
    <s v="Zhang, Z.; Yu, J.; Yang, B.; Du, K.; Wang, S.; Qi, X."/>
    <n v="2025"/>
    <x v="0"/>
    <n v="2"/>
    <s v="Zhang, Z."/>
  </r>
  <r>
    <s v="Li, F.; Li, X.; Wen, S.; Bao, J."/>
    <n v="2025"/>
    <x v="0"/>
    <n v="2"/>
    <s v="Li, F."/>
  </r>
  <r>
    <s v="Lou, S.; Tan, R.; Zhou, Y.; Zhao, Z.; Zhang, Y.; Lv, C."/>
    <n v="2025"/>
    <x v="4"/>
    <n v="0"/>
    <s v="Lou, S."/>
  </r>
  <r>
    <s v="Wang, B.; Zheng, L.; Wang, Y.; Qi, Z."/>
    <n v="2025"/>
    <x v="4"/>
    <n v="1"/>
    <s v="Wang, B."/>
  </r>
  <r>
    <s v="Li, F.; Li, X.; Wen, S.; Huang, H.; Bao, J."/>
    <n v="2025"/>
    <x v="7"/>
    <n v="0"/>
    <s v="Li, F."/>
  </r>
  <r>
    <s v="Shao, P.; Huang, Z.; Qiao, L.; Xu, X.; Wan, Y.; Chen, C.; Li, Z.; Anwer, N.; Qie, Y."/>
    <n v="2025"/>
    <x v="6"/>
    <n v="0"/>
    <s v="Shao, P."/>
  </r>
  <r>
    <s v="Khvatskii, G.; Lee, Y.S.; Angst, C.; Gibbs, M.; Landers, R.; Chawla, N.V."/>
    <n v="2025"/>
    <x v="22"/>
    <n v="3"/>
    <s v="Khvatskii, G."/>
  </r>
  <r>
    <s v="Abbaszadeh Nakhost, M.; Bloemer, A.; Minner, S."/>
    <n v="2025"/>
    <x v="2"/>
    <n v="0"/>
    <s v="Abbaszadeh Nakhost, M."/>
  </r>
  <r>
    <s v="Yu, Y.-C.; Ouyang, Y.-C.; Lin, C.-A."/>
    <n v="2025"/>
    <x v="11"/>
    <n v="0"/>
    <s v="Yu, Y.-C."/>
  </r>
  <r>
    <s v="Li, J.; Zhao, Z.; Yang, C.; Huang, S.; Lee, L.-H.; Huang, G.Q."/>
    <n v="2025"/>
    <x v="10"/>
    <n v="1"/>
    <s v="Li, J."/>
  </r>
  <r>
    <s v="Deng, H.; Luo, H.; Zhai, W.; Guo, Y.; Cao, Y.; Kang, Y."/>
    <n v="2025"/>
    <x v="17"/>
    <n v="1"/>
    <s v="Deng, H."/>
  </r>
  <r>
    <s v="Xiang, W.; Zhang, J.; Zhang, P.; Wang, M."/>
    <n v="2025"/>
    <x v="2"/>
    <n v="0"/>
    <s v="Xiang, W."/>
  </r>
  <r>
    <s v="Elbasheer, M.; Laili, Y.; Longo, F.; Solina, V.; Tao, Y.; Veltri, P.; Zhang, Y.; Zhang, L."/>
    <n v="2025"/>
    <x v="15"/>
    <n v="0"/>
    <s v="Elbasheer, M."/>
  </r>
  <r>
    <s v="Zong, Y.; Xu, Y.; Cai, M.; Tong, X.; Ning, F.; Zhang, Y."/>
    <n v="2025"/>
    <x v="15"/>
    <n v="0"/>
    <s v="Zong, Y."/>
  </r>
  <r>
    <s v="AlMahri, S.; Xu, L.; Brintrup, A."/>
    <n v="2025"/>
    <x v="2"/>
    <n v="0"/>
    <s v="AlMahri, S."/>
  </r>
  <r>
    <s v="Ding, P.; Zhang, J.; Zhang, P."/>
    <n v="2025"/>
    <x v="17"/>
    <n v="0"/>
    <s v="Ding, P."/>
  </r>
  <r>
    <s v="Zhang, J.; Zhang, W.; Wei, Q.; Zhong, H.; Miao, Y."/>
    <n v="2025"/>
    <x v="21"/>
    <n v="0"/>
    <s v="Zhang, J."/>
  </r>
  <r>
    <s v="Li, H.; Madhukumar, H.; Methley, N.; Chen, X.; Wu, Y.; Parra-Ullauri, J.; Sharma, V.; Lee, J.; Koblitz, A.R.; Andrews, M.; Liu, S.; Deng, Y.; Kolawole, O.Y.; Tassi, A.; Dimitra Simeonidou, D."/>
    <n v="2025"/>
    <x v="10"/>
    <n v="0"/>
    <s v="Li, H."/>
  </r>
  <r>
    <s v="Boudribila, A.; Tajer, A.; Boulghasoul, Z."/>
    <n v="2025"/>
    <x v="2"/>
    <n v="0"/>
    <s v="Boudribila, A."/>
  </r>
  <r>
    <s v="Zheng, G.; Brintrup, A."/>
    <n v="2025"/>
    <x v="2"/>
    <n v="2"/>
    <s v="Zheng, G."/>
  </r>
  <r>
    <s v="Lin, K.-Y."/>
    <n v="2024"/>
    <x v="16"/>
    <n v="11"/>
    <s v="Lin, K.-Y."/>
  </r>
  <r>
    <s v="Zhu, Z.; Zhao, Y.; Qiu, S.; Xu, K.; Yin, Q.; Huang, J.; Liu, Z.; Wang, F.-Y."/>
    <n v="2024"/>
    <x v="27"/>
    <n v="6"/>
    <s v="Zhu, Z."/>
  </r>
  <r>
    <s v="MacAluso, A.; Cote, N.; Chitta, S."/>
    <n v="2024"/>
    <x v="28"/>
    <n v="4"/>
    <s v="MacAluso, A."/>
  </r>
  <r>
    <m/>
    <m/>
    <x v="29"/>
    <m/>
    <m/>
  </r>
  <r>
    <m/>
    <m/>
    <x v="29"/>
    <m/>
    <m/>
  </r>
  <r>
    <m/>
    <m/>
    <x v="29"/>
    <m/>
    <m/>
  </r>
  <r>
    <m/>
    <m/>
    <x v="29"/>
    <m/>
    <m/>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7">
  <r>
    <s v="Zhou B."/>
    <x v="0"/>
  </r>
  <r>
    <s v="Xia L."/>
    <x v="1"/>
  </r>
  <r>
    <s v="Jackson I."/>
    <x v="2"/>
  </r>
  <r>
    <s v="Gkournelos C."/>
    <x v="3"/>
  </r>
  <r>
    <s v="Wang T."/>
    <x v="1"/>
  </r>
  <r>
    <s v="Sun Y."/>
    <x v="4"/>
  </r>
  <r>
    <s v="Zheng P."/>
    <x v="1"/>
  </r>
  <r>
    <s v="Li Y."/>
    <x v="5"/>
  </r>
  <r>
    <s v="Fan J."/>
    <x v="1"/>
  </r>
  <r>
    <s v="Xu Q."/>
    <x v="6"/>
  </r>
  <r>
    <s v="Colabianchi S."/>
    <x v="7"/>
  </r>
  <r>
    <s v="Shahin M."/>
    <x v="8"/>
  </r>
  <r>
    <s v="Wang P."/>
    <x v="9"/>
  </r>
  <r>
    <s v="Fu T."/>
    <x v="10"/>
  </r>
  <r>
    <s v="Wu T."/>
    <x v="4"/>
  </r>
  <r>
    <s v="Zhu J."/>
    <x v="11"/>
  </r>
  <r>
    <s v="Shi D."/>
    <x v="12"/>
  </r>
  <r>
    <s v="Liu Y."/>
    <x v="13"/>
  </r>
  <r>
    <s v="Cheamsiri W."/>
    <x v="14"/>
  </r>
  <r>
    <s v="Cao S."/>
    <x v="15"/>
  </r>
  <r>
    <s v="Cheng Z.-Q."/>
    <x v="16"/>
  </r>
  <r>
    <s v="Ji Y."/>
    <x v="17"/>
  </r>
  <r>
    <s v="Picard C."/>
    <x v="18"/>
  </r>
  <r>
    <s v="Fan H."/>
    <x v="19"/>
  </r>
  <r>
    <s v="Heredia Álvaro J.A."/>
    <x v="20"/>
  </r>
  <r>
    <s v="Liu X."/>
    <x v="19"/>
  </r>
  <r>
    <s v="Shi D."/>
    <x v="12"/>
  </r>
  <r>
    <s v="Xia Y."/>
    <x v="21"/>
  </r>
  <r>
    <s v="Liao X."/>
    <x v="22"/>
  </r>
  <r>
    <s v="Jeon J."/>
    <x v="23"/>
  </r>
  <r>
    <s v="Wen S."/>
    <x v="4"/>
  </r>
  <r>
    <s v="Liu C."/>
    <x v="17"/>
  </r>
  <r>
    <s v="Wu P."/>
    <x v="24"/>
  </r>
  <r>
    <s v="Du K."/>
    <x v="25"/>
  </r>
  <r>
    <s v="Wan Y."/>
    <x v="26"/>
  </r>
  <r>
    <s v="Kiangala K.S."/>
    <x v="27"/>
  </r>
  <r>
    <s v="Xu Q."/>
    <x v="28"/>
  </r>
  <r>
    <s v="Yin Y."/>
    <x v="29"/>
  </r>
  <r>
    <s v="Wu P."/>
    <x v="24"/>
  </r>
  <r>
    <s v="Gautam A."/>
    <x v="30"/>
  </r>
  <r>
    <s v="Lin X."/>
    <x v="31"/>
  </r>
  <r>
    <s v="Keskin Z."/>
    <x v="32"/>
  </r>
  <r>
    <s v="Garcia-Perez A."/>
    <x v="33"/>
  </r>
  <r>
    <s v="Shim M."/>
    <x v="34"/>
  </r>
  <r>
    <s v="Feng P."/>
    <x v="35"/>
  </r>
  <r>
    <s v="Shi D."/>
    <x v="12"/>
  </r>
  <r>
    <s v="Ma Y."/>
    <x v="36"/>
  </r>
  <r>
    <s v="Li X."/>
    <x v="37"/>
  </r>
  <r>
    <s v="Wang X."/>
    <x v="38"/>
  </r>
  <r>
    <s v="Li Y."/>
    <x v="39"/>
  </r>
  <r>
    <s v="Tan J."/>
    <x v="40"/>
  </r>
  <r>
    <s v="Yang S."/>
    <x v="41"/>
  </r>
  <r>
    <s v="Naghavi Khanghah K."/>
    <x v="42"/>
  </r>
  <r>
    <s v="Wang Y."/>
    <x v="43"/>
  </r>
  <r>
    <s v="Li X."/>
    <x v="44"/>
  </r>
  <r>
    <s v="Wang B."/>
    <x v="45"/>
  </r>
  <r>
    <s v="Wang Z."/>
    <x v="46"/>
  </r>
  <r>
    <s v="Liu C."/>
    <x v="17"/>
  </r>
  <r>
    <s v="Jiang Z."/>
    <x v="47"/>
  </r>
  <r>
    <s v="Simeone A."/>
    <x v="48"/>
  </r>
  <r>
    <s v="Wu T."/>
    <x v="4"/>
  </r>
  <r>
    <s v="Zhuang W."/>
    <x v="4"/>
  </r>
  <r>
    <s v="Daareyni A."/>
    <x v="49"/>
  </r>
  <r>
    <s v="Shahin M."/>
    <x v="50"/>
  </r>
  <r>
    <s v="Yuan Z."/>
    <x v="51"/>
  </r>
  <r>
    <s v="Sahadevan V."/>
    <x v="52"/>
  </r>
  <r>
    <s v="Chen G."/>
    <x v="53"/>
  </r>
  <r>
    <s v="Alam L."/>
    <x v="54"/>
  </r>
  <r>
    <s v="Duan C."/>
    <x v="55"/>
  </r>
  <r>
    <s v="Dimitropoulos N."/>
    <x v="3"/>
  </r>
  <r>
    <s v="Zhao, L."/>
    <x v="56"/>
  </r>
  <r>
    <s v="Li, L."/>
    <x v="57"/>
  </r>
  <r>
    <s v="Gu, W."/>
    <x v="58"/>
  </r>
  <r>
    <s v="Liu, Z."/>
    <x v="59"/>
  </r>
  <r>
    <s v="Wang, S."/>
    <x v="60"/>
  </r>
  <r>
    <s v="Liu, S."/>
    <x v="61"/>
  </r>
  <r>
    <s v="Tong, X."/>
    <x v="62"/>
  </r>
  <r>
    <s v="Alenjareghi, M.J."/>
    <x v="63"/>
  </r>
  <r>
    <s v="Chen, J."/>
    <x v="64"/>
  </r>
  <r>
    <s v="Zhou, Q."/>
    <x v="65"/>
  </r>
  <r>
    <s v="Tasneem, O."/>
    <x v="66"/>
  </r>
  <r>
    <s v="Ding, P."/>
    <x v="62"/>
  </r>
  <r>
    <s v="Wang, W."/>
    <x v="67"/>
  </r>
  <r>
    <s v="Chen, H."/>
    <x v="68"/>
  </r>
  <r>
    <s v="Liu, C."/>
    <x v="69"/>
  </r>
  <r>
    <s v="Wu, T."/>
    <x v="62"/>
  </r>
  <r>
    <s v="Ma, Y."/>
    <x v="70"/>
  </r>
  <r>
    <s v="Wang, Y."/>
    <x v="71"/>
  </r>
  <r>
    <s v="Ma, Y."/>
    <x v="69"/>
  </r>
  <r>
    <s v="Shi, D."/>
    <x v="72"/>
  </r>
  <r>
    <s v="Safari, A."/>
    <x v="73"/>
  </r>
  <r>
    <s v="Barot, M."/>
    <x v="74"/>
  </r>
  <r>
    <s v="Zhang, C."/>
    <x v="75"/>
  </r>
  <r>
    <s v="Genetti, S."/>
    <x v="76"/>
  </r>
  <r>
    <s v="Gong, W."/>
    <x v="77"/>
  </r>
  <r>
    <s v="Liu, P."/>
    <x v="78"/>
  </r>
  <r>
    <s v="Fan, S.-K.S."/>
    <x v="79"/>
  </r>
  <r>
    <s v="Zhao, Z."/>
    <x v="69"/>
  </r>
  <r>
    <s v="Liu, J."/>
    <x v="80"/>
  </r>
  <r>
    <s v="Chen, T.-C.T."/>
    <x v="81"/>
  </r>
  <r>
    <s v="Dong, W."/>
    <x v="82"/>
  </r>
  <r>
    <s v="Gui, H."/>
    <x v="82"/>
  </r>
  <r>
    <s v="Lee, J."/>
    <x v="83"/>
  </r>
  <r>
    <s v="Lin, J."/>
    <x v="84"/>
  </r>
  <r>
    <s v="Gu, S."/>
    <x v="85"/>
  </r>
  <r>
    <s v="Karabiyik, M.A."/>
    <x v="86"/>
  </r>
  <r>
    <s v="Li, C."/>
    <x v="87"/>
  </r>
  <r>
    <s v="Karapanagiotis, P."/>
    <x v="88"/>
  </r>
  <r>
    <s v="Wang, P."/>
    <x v="89"/>
  </r>
  <r>
    <s v="Xiong, X."/>
    <x v="90"/>
  </r>
  <r>
    <s v="Zhang, Z."/>
    <x v="91"/>
  </r>
  <r>
    <s v="Li, F."/>
    <x v="62"/>
  </r>
  <r>
    <s v="Lou, S."/>
    <x v="92"/>
  </r>
  <r>
    <s v="Wang, B."/>
    <x v="71"/>
  </r>
  <r>
    <s v="Li, F."/>
    <x v="62"/>
  </r>
  <r>
    <s v="Shao, P."/>
    <x v="93"/>
  </r>
  <r>
    <s v="Khvatskii, G."/>
    <x v="94"/>
  </r>
  <r>
    <s v="Abbaszadeh Nakhost, M."/>
    <x v="95"/>
  </r>
  <r>
    <s v="Yu, Y.-C."/>
    <x v="96"/>
  </r>
  <r>
    <s v="Li, J."/>
    <x v="97"/>
  </r>
  <r>
    <s v="Deng, H."/>
    <x v="98"/>
  </r>
  <r>
    <s v="Xiang, W."/>
    <x v="99"/>
  </r>
  <r>
    <s v="Elbasheer, M."/>
    <x v="100"/>
  </r>
  <r>
    <s v="Zong, Y."/>
    <x v="101"/>
  </r>
  <r>
    <s v="AlMahri, S."/>
    <x v="102"/>
  </r>
  <r>
    <s v="Ding, P."/>
    <x v="62"/>
  </r>
  <r>
    <s v="Zhang, J."/>
    <x v="103"/>
  </r>
  <r>
    <s v="Li, H."/>
    <x v="104"/>
  </r>
  <r>
    <s v="Boudribila, A."/>
    <x v="105"/>
  </r>
  <r>
    <s v="Zheng, G."/>
    <x v="106"/>
  </r>
  <r>
    <s v="Lin, K.-Y."/>
    <x v="107"/>
  </r>
  <r>
    <s v="Zhu, Z."/>
    <x v="108"/>
  </r>
  <r>
    <s v="MacAluso, A."/>
    <x v="109"/>
  </r>
  <r>
    <m/>
    <x v="110"/>
  </r>
  <r>
    <m/>
    <x v="110"/>
  </r>
  <r>
    <m/>
    <x v="110"/>
  </r>
  <r>
    <m/>
    <x v="110"/>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4">
  <r>
    <x v="0"/>
  </r>
  <r>
    <x v="0"/>
  </r>
  <r>
    <x v="1"/>
  </r>
  <r>
    <x v="2"/>
  </r>
  <r>
    <x v="1"/>
  </r>
  <r>
    <x v="1"/>
  </r>
  <r>
    <x v="2"/>
  </r>
  <r>
    <x v="0"/>
  </r>
  <r>
    <x v="2"/>
  </r>
  <r>
    <x v="2"/>
  </r>
  <r>
    <x v="0"/>
  </r>
  <r>
    <x v="0"/>
  </r>
  <r>
    <x v="0"/>
  </r>
  <r>
    <x v="3"/>
  </r>
  <r>
    <x v="0"/>
  </r>
  <r>
    <x v="0"/>
  </r>
  <r>
    <x v="4"/>
  </r>
  <r>
    <x v="0"/>
  </r>
  <r>
    <x v="0"/>
  </r>
  <r>
    <x v="0"/>
  </r>
  <r>
    <x v="0"/>
  </r>
  <r>
    <x v="2"/>
  </r>
  <r>
    <x v="0"/>
  </r>
  <r>
    <x v="1"/>
  </r>
  <r>
    <x v="0"/>
  </r>
  <r>
    <x v="0"/>
  </r>
  <r>
    <x v="2"/>
  </r>
  <r>
    <x v="0"/>
  </r>
  <r>
    <x v="0"/>
  </r>
  <r>
    <x v="5"/>
  </r>
  <r>
    <x v="0"/>
  </r>
  <r>
    <x v="2"/>
  </r>
  <r>
    <x v="0"/>
  </r>
  <r>
    <x v="0"/>
  </r>
  <r>
    <x v="0"/>
  </r>
  <r>
    <x v="5"/>
  </r>
  <r>
    <x v="0"/>
  </r>
  <r>
    <x v="2"/>
  </r>
  <r>
    <x v="0"/>
  </r>
  <r>
    <x v="2"/>
  </r>
  <r>
    <x v="2"/>
  </r>
  <r>
    <x v="0"/>
  </r>
  <r>
    <x v="0"/>
  </r>
  <r>
    <x v="0"/>
  </r>
  <r>
    <x v="1"/>
  </r>
  <r>
    <x v="0"/>
  </r>
  <r>
    <x v="0"/>
  </r>
  <r>
    <x v="5"/>
  </r>
  <r>
    <x v="6"/>
  </r>
  <r>
    <x v="0"/>
  </r>
  <r>
    <x v="7"/>
  </r>
  <r>
    <x v="0"/>
  </r>
  <r>
    <x v="0"/>
  </r>
  <r>
    <x v="0"/>
  </r>
  <r>
    <x v="1"/>
  </r>
  <r>
    <x v="0"/>
  </r>
  <r>
    <x v="2"/>
  </r>
  <r>
    <x v="5"/>
  </r>
  <r>
    <x v="1"/>
  </r>
  <r>
    <x v="2"/>
  </r>
  <r>
    <x v="0"/>
  </r>
  <r>
    <x v="0"/>
  </r>
  <r>
    <x v="2"/>
  </r>
  <r>
    <x v="1"/>
  </r>
  <r>
    <x v="2"/>
  </r>
  <r>
    <x v="1"/>
  </r>
  <r>
    <x v="0"/>
  </r>
  <r>
    <x v="0"/>
  </r>
  <r>
    <x v="0"/>
  </r>
  <r>
    <x v="2"/>
  </r>
  <r>
    <x v="0"/>
  </r>
  <r>
    <x v="2"/>
  </r>
  <r>
    <x v="2"/>
  </r>
  <r>
    <x v="0"/>
  </r>
  <r>
    <x v="0"/>
  </r>
  <r>
    <x v="2"/>
  </r>
  <r>
    <x v="2"/>
  </r>
  <r>
    <x v="0"/>
  </r>
  <r>
    <x v="2"/>
  </r>
  <r>
    <x v="2"/>
  </r>
  <r>
    <x v="2"/>
  </r>
  <r>
    <x v="2"/>
  </r>
  <r>
    <x v="2"/>
  </r>
  <r>
    <x v="1"/>
  </r>
  <r>
    <x v="5"/>
  </r>
  <r>
    <x v="2"/>
  </r>
  <r>
    <x v="5"/>
  </r>
  <r>
    <x v="2"/>
  </r>
  <r>
    <x v="2"/>
  </r>
  <r>
    <x v="2"/>
  </r>
  <r>
    <x v="1"/>
  </r>
  <r>
    <x v="0"/>
  </r>
  <r>
    <x v="0"/>
  </r>
  <r>
    <x v="5"/>
  </r>
  <r>
    <x v="1"/>
  </r>
  <r>
    <x v="2"/>
  </r>
  <r>
    <x v="2"/>
  </r>
  <r>
    <x v="2"/>
  </r>
  <r>
    <x v="1"/>
  </r>
  <r>
    <x v="5"/>
  </r>
  <r>
    <x v="2"/>
  </r>
  <r>
    <x v="2"/>
  </r>
  <r>
    <x v="5"/>
  </r>
  <r>
    <x v="2"/>
  </r>
  <r>
    <x v="0"/>
  </r>
  <r>
    <x v="2"/>
  </r>
  <r>
    <x v="2"/>
  </r>
  <r>
    <x v="2"/>
  </r>
  <r>
    <x v="2"/>
  </r>
  <r>
    <x v="2"/>
  </r>
  <r>
    <x v="0"/>
  </r>
  <r>
    <x v="0"/>
  </r>
  <r>
    <x v="2"/>
  </r>
  <r>
    <x v="2"/>
  </r>
  <r>
    <x v="0"/>
  </r>
  <r>
    <x v="0"/>
  </r>
  <r>
    <x v="0"/>
  </r>
  <r>
    <x v="0"/>
  </r>
  <r>
    <x v="0"/>
  </r>
  <r>
    <x v="4"/>
  </r>
  <r>
    <x v="0"/>
  </r>
  <r>
    <x v="0"/>
  </r>
  <r>
    <x v="2"/>
  </r>
  <r>
    <x v="2"/>
  </r>
  <r>
    <x v="0"/>
  </r>
  <r>
    <x v="2"/>
  </r>
  <r>
    <x v="0"/>
  </r>
  <r>
    <x v="2"/>
  </r>
  <r>
    <x v="0"/>
  </r>
  <r>
    <x v="0"/>
  </r>
  <r>
    <x v="0"/>
  </r>
  <r>
    <x v="2"/>
  </r>
  <r>
    <x v="2"/>
  </r>
  <r>
    <x v="8"/>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r>
  <r>
    <x v="1"/>
  </r>
  <r>
    <x v="2"/>
  </r>
  <r>
    <x v="3"/>
  </r>
  <r>
    <x v="3"/>
  </r>
  <r>
    <x v="4"/>
  </r>
  <r>
    <x v="0"/>
  </r>
  <r>
    <x v="5"/>
  </r>
  <r>
    <x v="5"/>
  </r>
  <r>
    <x v="6"/>
  </r>
  <r>
    <x v="0"/>
  </r>
  <r>
    <x v="4"/>
  </r>
  <r>
    <x v="4"/>
  </r>
  <r>
    <x v="3"/>
  </r>
  <r>
    <x v="7"/>
  </r>
  <r>
    <x v="8"/>
  </r>
  <r>
    <x v="9"/>
  </r>
  <r>
    <x v="7"/>
  </r>
  <r>
    <x v="7"/>
  </r>
  <r>
    <x v="3"/>
  </r>
  <r>
    <x v="7"/>
  </r>
  <r>
    <x v="3"/>
  </r>
  <r>
    <x v="0"/>
  </r>
  <r>
    <x v="0"/>
  </r>
  <r>
    <x v="6"/>
  </r>
  <r>
    <x v="0"/>
  </r>
  <r>
    <x v="3"/>
  </r>
  <r>
    <x v="3"/>
  </r>
  <r>
    <x v="10"/>
  </r>
  <r>
    <x v="7"/>
  </r>
  <r>
    <x v="3"/>
  </r>
  <r>
    <x v="7"/>
  </r>
  <r>
    <x v="11"/>
  </r>
  <r>
    <x v="7"/>
  </r>
  <r>
    <x v="11"/>
  </r>
  <r>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CB958F-F7D2-4480-84D8-B115BE6953BA}"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E3" firstHeaderRow="1" firstDataRow="2" firstDataCol="1"/>
  <pivotFields count="4">
    <pivotField axis="axisCol" dataField="1" showAll="0" sortType="ascending">
      <items count="5">
        <item x="0"/>
        <item x="1"/>
        <item x="2"/>
        <item h="1" x="3"/>
        <item t="default"/>
      </items>
    </pivotField>
    <pivotField showAll="0"/>
    <pivotField showAll="0"/>
    <pivotField showAll="0"/>
  </pivotFields>
  <rowItems count="1">
    <i/>
  </rowItems>
  <colFields count="1">
    <field x="0"/>
  </colFields>
  <colItems count="4">
    <i>
      <x/>
    </i>
    <i>
      <x v="1"/>
    </i>
    <i>
      <x v="2"/>
    </i>
    <i t="grand">
      <x/>
    </i>
  </colItems>
  <dataFields count="1">
    <dataField name="Count of Year" fld="0" subtotal="count" baseField="0" baseItem="0"/>
  </dataFields>
  <chartFormats count="3">
    <chartFormat chart="2" format="12" series="1">
      <pivotArea type="data" outline="0" fieldPosition="0">
        <references count="2">
          <reference field="4294967294" count="1" selected="0">
            <x v="0"/>
          </reference>
          <reference field="0" count="1" selected="0">
            <x v="0"/>
          </reference>
        </references>
      </pivotArea>
    </chartFormat>
    <chartFormat chart="2" format="13" series="1">
      <pivotArea type="data" outline="0" fieldPosition="0">
        <references count="2">
          <reference field="4294967294" count="1" selected="0">
            <x v="0"/>
          </reference>
          <reference field="0" count="1" selected="0">
            <x v="1"/>
          </reference>
        </references>
      </pivotArea>
    </chartFormat>
    <chartFormat chart="2" format="14"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9A62CA-5109-4F78-8B02-5F9FD8246562}"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K31" firstHeaderRow="1" firstDataRow="1" firstDataCol="1"/>
  <pivotFields count="5">
    <pivotField showAll="0"/>
    <pivotField showAll="0"/>
    <pivotField axis="axisRow" dataField="1" showAll="0" sortType="descending">
      <items count="31">
        <item x="0"/>
        <item x="3"/>
        <item x="7"/>
        <item x="11"/>
        <item x="10"/>
        <item x="17"/>
        <item x="27"/>
        <item x="6"/>
        <item x="2"/>
        <item x="5"/>
        <item x="15"/>
        <item x="4"/>
        <item x="19"/>
        <item x="1"/>
        <item x="13"/>
        <item h="1" x="29"/>
        <item x="23"/>
        <item x="8"/>
        <item x="9"/>
        <item x="12"/>
        <item x="16"/>
        <item x="14"/>
        <item x="18"/>
        <item x="20"/>
        <item x="21"/>
        <item x="22"/>
        <item x="24"/>
        <item x="25"/>
        <item x="26"/>
        <item x="28"/>
        <item t="default"/>
      </items>
      <autoSortScope>
        <pivotArea dataOnly="0" outline="0" fieldPosition="0">
          <references count="1">
            <reference field="4294967294" count="1" selected="0">
              <x v="0"/>
            </reference>
          </references>
        </pivotArea>
      </autoSortScope>
    </pivotField>
    <pivotField showAll="0"/>
    <pivotField showAll="0"/>
  </pivotFields>
  <rowFields count="1">
    <field x="2"/>
  </rowFields>
  <rowItems count="30">
    <i>
      <x/>
    </i>
    <i>
      <x v="11"/>
    </i>
    <i>
      <x v="13"/>
    </i>
    <i>
      <x v="7"/>
    </i>
    <i>
      <x v="1"/>
    </i>
    <i>
      <x v="8"/>
    </i>
    <i>
      <x v="3"/>
    </i>
    <i>
      <x v="10"/>
    </i>
    <i>
      <x v="4"/>
    </i>
    <i>
      <x v="20"/>
    </i>
    <i>
      <x v="5"/>
    </i>
    <i>
      <x v="9"/>
    </i>
    <i>
      <x v="2"/>
    </i>
    <i>
      <x v="25"/>
    </i>
    <i>
      <x v="24"/>
    </i>
    <i>
      <x v="26"/>
    </i>
    <i>
      <x v="6"/>
    </i>
    <i>
      <x v="22"/>
    </i>
    <i>
      <x v="21"/>
    </i>
    <i>
      <x v="18"/>
    </i>
    <i>
      <x v="23"/>
    </i>
    <i>
      <x v="28"/>
    </i>
    <i>
      <x v="17"/>
    </i>
    <i>
      <x v="27"/>
    </i>
    <i>
      <x v="19"/>
    </i>
    <i>
      <x v="29"/>
    </i>
    <i>
      <x v="12"/>
    </i>
    <i>
      <x v="16"/>
    </i>
    <i>
      <x v="14"/>
    </i>
    <i t="grand">
      <x/>
    </i>
  </rowItems>
  <colItems count="1">
    <i/>
  </colItems>
  <dataFields count="1">
    <dataField name="Count of Journal/Conference" fld="2" subtotal="count" baseField="0" baseItem="0"/>
  </dataFields>
  <formats count="4">
    <format dxfId="11">
      <pivotArea dataOnly="0" labelOnly="1" fieldPosition="0">
        <references count="1">
          <reference field="2" count="11">
            <x v="0"/>
            <x v="1"/>
            <x v="3"/>
            <x v="4"/>
            <x v="7"/>
            <x v="8"/>
            <x v="9"/>
            <x v="10"/>
            <x v="11"/>
            <x v="13"/>
            <x v="16"/>
          </reference>
        </references>
      </pivotArea>
    </format>
    <format dxfId="10">
      <pivotArea dataOnly="0" labelOnly="1" fieldPosition="0">
        <references count="1">
          <reference field="2" count="1">
            <x v="8"/>
          </reference>
        </references>
      </pivotArea>
    </format>
    <format dxfId="9">
      <pivotArea dataOnly="0" labelOnly="1" fieldPosition="0">
        <references count="1">
          <reference field="2" count="0"/>
        </references>
      </pivotArea>
    </format>
    <format dxfId="8">
      <pivotArea dataOnly="0" labelOnly="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638150-7159-48C3-85C9-3B503A6A966F}"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N124" firstHeaderRow="1" firstDataRow="1" firstDataCol="1"/>
  <pivotFields count="4">
    <pivotField showAll="0"/>
    <pivotField showAll="0"/>
    <pivotField showAll="0"/>
    <pivotField axis="axisRow" dataField="1" showAll="0" sortType="descending">
      <items count="123">
        <item x="58"/>
        <item x="19"/>
        <item x="10"/>
        <item x="54"/>
        <item x="60"/>
        <item x="32"/>
        <item x="23"/>
        <item x="8"/>
        <item x="39"/>
        <item x="36"/>
        <item x="3"/>
        <item x="24"/>
        <item x="28"/>
        <item x="21"/>
        <item x="51"/>
        <item x="38"/>
        <item x="34"/>
        <item x="43"/>
        <item x="7"/>
        <item x="27"/>
        <item x="37"/>
        <item x="30"/>
        <item x="25"/>
        <item x="42"/>
        <item x="11"/>
        <item x="16"/>
        <item x="40"/>
        <item x="5"/>
        <item x="45"/>
        <item x="33"/>
        <item x="49"/>
        <item x="12"/>
        <item x="4"/>
        <item x="44"/>
        <item x="50"/>
        <item x="29"/>
        <item x="31"/>
        <item x="14"/>
        <item x="1"/>
        <item x="26"/>
        <item x="9"/>
        <item x="35"/>
        <item x="55"/>
        <item x="6"/>
        <item x="0"/>
        <item x="53"/>
        <item x="121"/>
        <item x="52"/>
        <item x="2"/>
        <item x="13"/>
        <item x="15"/>
        <item x="17"/>
        <item x="18"/>
        <item x="20"/>
        <item x="41"/>
        <item x="22"/>
        <item x="46"/>
        <item x="47"/>
        <item x="48"/>
        <item x="56"/>
        <item x="57"/>
        <item x="59"/>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8"/>
        <item x="117"/>
        <item x="119"/>
        <item x="120"/>
        <item t="default"/>
      </items>
      <autoSortScope>
        <pivotArea dataOnly="0" outline="0" fieldPosition="0">
          <references count="1">
            <reference field="4294967294" count="1" selected="0">
              <x v="0"/>
            </reference>
          </references>
        </pivotArea>
      </autoSortScope>
    </pivotField>
  </pivotFields>
  <rowFields count="1">
    <field x="3"/>
  </rowFields>
  <rowItems count="123">
    <i>
      <x v="25"/>
    </i>
    <i>
      <x v="37"/>
    </i>
    <i>
      <x v="73"/>
    </i>
    <i>
      <x v="17"/>
    </i>
    <i>
      <x v="36"/>
    </i>
    <i>
      <x v="18"/>
    </i>
    <i>
      <x v="102"/>
    </i>
    <i>
      <x v="21"/>
    </i>
    <i>
      <x v="78"/>
    </i>
    <i>
      <x v="24"/>
    </i>
    <i>
      <x v="40"/>
    </i>
    <i>
      <x v="75"/>
    </i>
    <i>
      <x v="118"/>
    </i>
    <i>
      <x v="8"/>
    </i>
    <i>
      <x v="12"/>
    </i>
    <i>
      <x v="67"/>
    </i>
    <i>
      <x v="13"/>
    </i>
    <i>
      <x v="11"/>
    </i>
    <i>
      <x v="14"/>
    </i>
    <i>
      <x v="110"/>
    </i>
    <i>
      <x v="15"/>
    </i>
    <i>
      <x v="63"/>
    </i>
    <i>
      <x v="16"/>
    </i>
    <i>
      <x v="71"/>
    </i>
    <i>
      <x v="1"/>
    </i>
    <i>
      <x v="79"/>
    </i>
    <i>
      <x v="2"/>
    </i>
    <i>
      <x v="98"/>
    </i>
    <i>
      <x v="19"/>
    </i>
    <i>
      <x v="106"/>
    </i>
    <i>
      <x v="20"/>
    </i>
    <i>
      <x v="114"/>
    </i>
    <i>
      <x v="3"/>
    </i>
    <i>
      <x v="61"/>
    </i>
    <i>
      <x v="22"/>
    </i>
    <i>
      <x v="65"/>
    </i>
    <i>
      <x v="23"/>
    </i>
    <i>
      <x v="69"/>
    </i>
    <i>
      <x v="4"/>
    </i>
    <i>
      <x v="9"/>
    </i>
    <i>
      <x v="5"/>
    </i>
    <i>
      <x v="77"/>
    </i>
    <i>
      <x v="26"/>
    </i>
    <i>
      <x v="81"/>
    </i>
    <i>
      <x v="27"/>
    </i>
    <i>
      <x v="96"/>
    </i>
    <i>
      <x v="28"/>
    </i>
    <i>
      <x v="100"/>
    </i>
    <i>
      <x v="29"/>
    </i>
    <i>
      <x v="104"/>
    </i>
    <i>
      <x v="30"/>
    </i>
    <i>
      <x v="108"/>
    </i>
    <i>
      <x v="31"/>
    </i>
    <i>
      <x v="112"/>
    </i>
    <i>
      <x v="32"/>
    </i>
    <i>
      <x v="116"/>
    </i>
    <i>
      <x v="33"/>
    </i>
    <i>
      <x v="120"/>
    </i>
    <i>
      <x v="34"/>
    </i>
    <i>
      <x v="62"/>
    </i>
    <i>
      <x v="35"/>
    </i>
    <i>
      <x v="64"/>
    </i>
    <i>
      <x v="6"/>
    </i>
    <i>
      <x v="66"/>
    </i>
    <i>
      <x v="7"/>
    </i>
    <i>
      <x v="68"/>
    </i>
    <i>
      <x v="38"/>
    </i>
    <i>
      <x v="70"/>
    </i>
    <i>
      <x v="39"/>
    </i>
    <i>
      <x v="72"/>
    </i>
    <i>
      <x v="83"/>
    </i>
    <i>
      <x v="74"/>
    </i>
    <i>
      <x v="84"/>
    </i>
    <i>
      <x v="76"/>
    </i>
    <i>
      <x v="86"/>
    </i>
    <i>
      <x v="10"/>
    </i>
    <i>
      <x v="88"/>
    </i>
    <i>
      <x v="80"/>
    </i>
    <i>
      <x v="90"/>
    </i>
    <i>
      <x v="82"/>
    </i>
    <i>
      <x v="92"/>
    </i>
    <i>
      <x v="94"/>
    </i>
    <i>
      <x v="85"/>
    </i>
    <i>
      <x v="41"/>
    </i>
    <i>
      <x v="87"/>
    </i>
    <i>
      <x v="42"/>
    </i>
    <i>
      <x v="89"/>
    </i>
    <i>
      <x v="43"/>
    </i>
    <i>
      <x v="91"/>
    </i>
    <i>
      <x v="44"/>
    </i>
    <i>
      <x v="93"/>
    </i>
    <i>
      <x v="45"/>
    </i>
    <i>
      <x v="95"/>
    </i>
    <i>
      <x v="47"/>
    </i>
    <i>
      <x v="97"/>
    </i>
    <i>
      <x v="48"/>
    </i>
    <i>
      <x v="99"/>
    </i>
    <i>
      <x v="49"/>
    </i>
    <i>
      <x v="101"/>
    </i>
    <i>
      <x v="50"/>
    </i>
    <i>
      <x v="103"/>
    </i>
    <i>
      <x v="51"/>
    </i>
    <i>
      <x v="105"/>
    </i>
    <i>
      <x v="52"/>
    </i>
    <i>
      <x v="107"/>
    </i>
    <i>
      <x v="53"/>
    </i>
    <i>
      <x v="109"/>
    </i>
    <i>
      <x v="54"/>
    </i>
    <i>
      <x v="111"/>
    </i>
    <i>
      <x v="55"/>
    </i>
    <i>
      <x v="113"/>
    </i>
    <i>
      <x v="56"/>
    </i>
    <i>
      <x v="115"/>
    </i>
    <i>
      <x v="57"/>
    </i>
    <i>
      <x v="117"/>
    </i>
    <i>
      <x v="58"/>
    </i>
    <i>
      <x v="119"/>
    </i>
    <i>
      <x v="59"/>
    </i>
    <i>
      <x v="121"/>
    </i>
    <i>
      <x/>
    </i>
    <i>
      <x v="60"/>
    </i>
    <i>
      <x v="46"/>
    </i>
    <i t="grand">
      <x/>
    </i>
  </rowItems>
  <colItems count="1">
    <i/>
  </colItems>
  <dataFields count="1">
    <dataField name="Count of First author" fld="3" subtotal="count" baseField="0" baseItem="0"/>
  </dataFields>
  <formats count="6">
    <format dxfId="17">
      <pivotArea dataOnly="0" labelOnly="1" fieldPosition="0">
        <references count="1">
          <reference field="3" count="9">
            <x v="17"/>
            <x v="21"/>
            <x v="23"/>
            <x v="25"/>
            <x v="32"/>
            <x v="35"/>
            <x v="36"/>
            <x v="37"/>
            <x v="40"/>
          </reference>
        </references>
      </pivotArea>
    </format>
    <format dxfId="16">
      <pivotArea field="3" type="button" dataOnly="0" labelOnly="1" outline="0" axis="axisRow" fieldPosition="0"/>
    </format>
    <format dxfId="15">
      <pivotArea dataOnly="0" labelOnly="1" fieldPosition="0">
        <references count="1">
          <reference field="3" count="41">
            <x v="0"/>
            <x v="1"/>
            <x v="2"/>
            <x v="3"/>
            <x v="4"/>
            <x v="5"/>
            <x v="6"/>
            <x v="8"/>
            <x v="9"/>
            <x v="10"/>
            <x v="11"/>
            <x v="12"/>
            <x v="13"/>
            <x v="14"/>
            <x v="15"/>
            <x v="16"/>
            <x v="17"/>
            <x v="18"/>
            <x v="19"/>
            <x v="20"/>
            <x v="21"/>
            <x v="24"/>
            <x v="25"/>
            <x v="26"/>
            <x v="27"/>
            <x v="28"/>
            <x v="29"/>
            <x v="30"/>
            <x v="31"/>
            <x v="32"/>
            <x v="33"/>
            <x v="34"/>
            <x v="35"/>
            <x v="36"/>
            <x v="37"/>
            <x v="38"/>
            <x v="39"/>
            <x v="40"/>
            <x v="41"/>
            <x v="43"/>
            <x v="44"/>
          </reference>
        </references>
      </pivotArea>
    </format>
    <format dxfId="14">
      <pivotArea dataOnly="0" labelOnly="1" fieldPosition="0">
        <references count="1">
          <reference field="3" count="5">
            <x v="7"/>
            <x v="22"/>
            <x v="23"/>
            <x v="42"/>
            <x v="45"/>
          </reference>
        </references>
      </pivotArea>
    </format>
    <format dxfId="13">
      <pivotArea dataOnly="0" labelOnly="1" grandRow="1" outline="0" fieldPosition="0"/>
    </format>
    <format dxfId="12">
      <pivotArea dataOnly="0" labelOnly="1" fieldPosition="0">
        <references count="1">
          <reference field="3" count="11">
            <x v="2"/>
            <x v="17"/>
            <x v="18"/>
            <x v="21"/>
            <x v="24"/>
            <x v="25"/>
            <x v="32"/>
            <x v="36"/>
            <x v="37"/>
            <x v="40"/>
            <x v="4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108ACD-5816-4D49-B04B-83B11506B3EE}" name="PivotTable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1:R113" firstHeaderRow="1" firstDataRow="1" firstDataCol="1"/>
  <pivotFields count="2">
    <pivotField showAll="0"/>
    <pivotField axis="axisRow" dataField="1" showAll="0" sortType="descending">
      <items count="112">
        <item x="17"/>
        <item x="4"/>
        <item x="34"/>
        <item x="7"/>
        <item x="9"/>
        <item x="27"/>
        <item x="1"/>
        <item x="29"/>
        <item x="19"/>
        <item x="26"/>
        <item x="45"/>
        <item x="5"/>
        <item x="49"/>
        <item x="15"/>
        <item x="12"/>
        <item x="22"/>
        <item x="32"/>
        <item x="20"/>
        <item x="3"/>
        <item x="8"/>
        <item x="0"/>
        <item x="44"/>
        <item x="23"/>
        <item x="6"/>
        <item x="28"/>
        <item x="46"/>
        <item x="36"/>
        <item x="33"/>
        <item x="40"/>
        <item x="25"/>
        <item n="The College of Electronics and Information Engineering, Shanghai Research Institute for Intelligent Autonomous Systems, the National Key Laboratory of Autonomous Intelligent Unmanned Systems, The Frontiers Science Center for Intelligent Autonomous System" x="37"/>
        <item x="47"/>
        <item x="54"/>
        <item x="110"/>
        <item x="31"/>
        <item x="24"/>
        <item x="51"/>
        <item x="21"/>
        <item x="48"/>
        <item x="16"/>
        <item x="2"/>
        <item x="10"/>
        <item x="11"/>
        <item x="13"/>
        <item x="14"/>
        <item x="30"/>
        <item x="35"/>
        <item x="18"/>
        <item x="38"/>
        <item x="39"/>
        <item x="41"/>
        <item x="42"/>
        <item x="43"/>
        <item x="50"/>
        <item x="52"/>
        <item x="53"/>
        <item x="55"/>
        <item x="56"/>
        <item x="57"/>
        <item x="58"/>
        <item x="59"/>
        <item x="60"/>
        <item x="61"/>
        <item x="62"/>
        <item x="63"/>
        <item x="64"/>
        <item x="65"/>
        <item x="66"/>
        <item x="67"/>
        <item x="68"/>
        <item x="69"/>
        <item x="70"/>
        <item x="71"/>
        <item x="72"/>
        <item x="73"/>
        <item x="74"/>
        <item x="75"/>
        <item x="76"/>
        <item x="77"/>
        <item x="79"/>
        <item x="78"/>
        <item x="93"/>
        <item x="80"/>
        <item x="81"/>
        <item x="82"/>
        <item x="83"/>
        <item x="84"/>
        <item x="85"/>
        <item x="86"/>
        <item x="87"/>
        <item x="88"/>
        <item x="89"/>
        <item x="90"/>
        <item x="91"/>
        <item x="92"/>
        <item x="94"/>
        <item x="95"/>
        <item x="96"/>
        <item x="97"/>
        <item x="98"/>
        <item x="99"/>
        <item x="100"/>
        <item x="101"/>
        <item x="102"/>
        <item x="103"/>
        <item x="104"/>
        <item x="105"/>
        <item x="107"/>
        <item x="106"/>
        <item x="108"/>
        <item x="109"/>
        <item t="default"/>
      </items>
      <autoSortScope>
        <pivotArea dataOnly="0" outline="0" fieldPosition="0">
          <references count="1">
            <reference field="4294967294" count="1" selected="0">
              <x v="0"/>
            </reference>
          </references>
        </pivotArea>
      </autoSortScope>
    </pivotField>
  </pivotFields>
  <rowFields count="1">
    <field x="1"/>
  </rowFields>
  <rowItems count="112">
    <i>
      <x v="63"/>
    </i>
    <i>
      <x v="1"/>
    </i>
    <i>
      <x v="6"/>
    </i>
    <i>
      <x v="70"/>
    </i>
    <i>
      <x v="14"/>
    </i>
    <i>
      <x/>
    </i>
    <i>
      <x v="72"/>
    </i>
    <i>
      <x v="18"/>
    </i>
    <i>
      <x v="84"/>
    </i>
    <i>
      <x v="8"/>
    </i>
    <i>
      <x v="35"/>
    </i>
    <i>
      <x v="80"/>
    </i>
    <i>
      <x v="59"/>
    </i>
    <i>
      <x v="96"/>
    </i>
    <i>
      <x v="12"/>
    </i>
    <i>
      <x v="9"/>
    </i>
    <i>
      <x v="13"/>
    </i>
    <i>
      <x v="88"/>
    </i>
    <i>
      <x v="3"/>
    </i>
    <i>
      <x v="104"/>
    </i>
    <i>
      <x v="15"/>
    </i>
    <i>
      <x v="4"/>
    </i>
    <i>
      <x v="16"/>
    </i>
    <i>
      <x v="76"/>
    </i>
    <i>
      <x v="17"/>
    </i>
    <i>
      <x v="10"/>
    </i>
    <i>
      <x v="7"/>
    </i>
    <i>
      <x v="92"/>
    </i>
    <i>
      <x v="19"/>
    </i>
    <i>
      <x v="100"/>
    </i>
    <i>
      <x v="20"/>
    </i>
    <i>
      <x v="108"/>
    </i>
    <i>
      <x v="21"/>
    </i>
    <i>
      <x v="61"/>
    </i>
    <i>
      <x v="22"/>
    </i>
    <i>
      <x v="11"/>
    </i>
    <i>
      <x v="23"/>
    </i>
    <i>
      <x v="74"/>
    </i>
    <i>
      <x v="24"/>
    </i>
    <i>
      <x v="78"/>
    </i>
    <i>
      <x v="25"/>
    </i>
    <i>
      <x v="82"/>
    </i>
    <i>
      <x v="26"/>
    </i>
    <i>
      <x v="86"/>
    </i>
    <i>
      <x v="27"/>
    </i>
    <i>
      <x v="90"/>
    </i>
    <i>
      <x v="28"/>
    </i>
    <i>
      <x v="94"/>
    </i>
    <i>
      <x v="29"/>
    </i>
    <i>
      <x v="98"/>
    </i>
    <i>
      <x v="30"/>
    </i>
    <i>
      <x v="102"/>
    </i>
    <i>
      <x v="31"/>
    </i>
    <i>
      <x v="106"/>
    </i>
    <i>
      <x v="32"/>
    </i>
    <i>
      <x v="2"/>
    </i>
    <i>
      <x v="34"/>
    </i>
    <i>
      <x v="60"/>
    </i>
    <i>
      <x v="65"/>
    </i>
    <i>
      <x v="62"/>
    </i>
    <i>
      <x v="66"/>
    </i>
    <i>
      <x v="64"/>
    </i>
    <i>
      <x v="68"/>
    </i>
    <i>
      <x v="5"/>
    </i>
    <i>
      <x v="67"/>
    </i>
    <i>
      <x v="36"/>
    </i>
    <i>
      <x v="69"/>
    </i>
    <i>
      <x v="37"/>
    </i>
    <i>
      <x v="71"/>
    </i>
    <i>
      <x v="38"/>
    </i>
    <i>
      <x v="73"/>
    </i>
    <i>
      <x v="39"/>
    </i>
    <i>
      <x v="75"/>
    </i>
    <i>
      <x v="40"/>
    </i>
    <i>
      <x v="77"/>
    </i>
    <i>
      <x v="41"/>
    </i>
    <i>
      <x v="79"/>
    </i>
    <i>
      <x v="42"/>
    </i>
    <i>
      <x v="81"/>
    </i>
    <i>
      <x v="43"/>
    </i>
    <i>
      <x v="83"/>
    </i>
    <i>
      <x v="44"/>
    </i>
    <i>
      <x v="85"/>
    </i>
    <i>
      <x v="45"/>
    </i>
    <i>
      <x v="87"/>
    </i>
    <i>
      <x v="46"/>
    </i>
    <i>
      <x v="89"/>
    </i>
    <i>
      <x v="47"/>
    </i>
    <i>
      <x v="91"/>
    </i>
    <i>
      <x v="48"/>
    </i>
    <i>
      <x v="93"/>
    </i>
    <i>
      <x v="49"/>
    </i>
    <i>
      <x v="95"/>
    </i>
    <i>
      <x v="50"/>
    </i>
    <i>
      <x v="97"/>
    </i>
    <i>
      <x v="51"/>
    </i>
    <i>
      <x v="99"/>
    </i>
    <i>
      <x v="52"/>
    </i>
    <i>
      <x v="101"/>
    </i>
    <i>
      <x v="53"/>
    </i>
    <i>
      <x v="103"/>
    </i>
    <i>
      <x v="54"/>
    </i>
    <i>
      <x v="105"/>
    </i>
    <i>
      <x v="110"/>
    </i>
    <i>
      <x v="107"/>
    </i>
    <i>
      <x v="56"/>
    </i>
    <i>
      <x v="109"/>
    </i>
    <i>
      <x v="57"/>
    </i>
    <i>
      <x v="58"/>
    </i>
    <i>
      <x v="55"/>
    </i>
    <i>
      <x v="33"/>
    </i>
    <i t="grand">
      <x/>
    </i>
  </rowItems>
  <colItems count="1">
    <i/>
  </colItems>
  <dataFields count="1">
    <dataField name="Count of First author affiliation" fld="1" subtotal="count" baseField="0" baseItem="0"/>
  </dataFields>
  <formats count="2">
    <format dxfId="19">
      <pivotArea dataOnly="0" labelOnly="1" fieldPosition="0">
        <references count="1">
          <reference field="1" count="5">
            <x v="0"/>
            <x v="1"/>
            <x v="6"/>
            <x v="14"/>
            <x v="31"/>
          </reference>
        </references>
      </pivotArea>
    </format>
    <format dxfId="18">
      <pivotArea dataOnly="0" labelOnly="1" fieldPosition="0">
        <references count="1">
          <reference field="1" count="1">
            <x v="2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B0ADE8-F33E-4446-A68F-0DDA779172DB}"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K45:L55" firstHeaderRow="1" firstDataRow="1" firstDataCol="1"/>
  <pivotFields count="1">
    <pivotField axis="axisRow" dataField="1" showAll="0">
      <items count="10">
        <item x="7"/>
        <item x="6"/>
        <item x="1"/>
        <item x="0"/>
        <item x="2"/>
        <item x="5"/>
        <item x="4"/>
        <item x="3"/>
        <item x="8"/>
        <item t="default"/>
      </items>
    </pivotField>
  </pivotFields>
  <rowFields count="1">
    <field x="0"/>
  </rowFields>
  <rowItems count="10">
    <i>
      <x/>
    </i>
    <i>
      <x v="1"/>
    </i>
    <i>
      <x v="2"/>
    </i>
    <i>
      <x v="3"/>
    </i>
    <i>
      <x v="4"/>
    </i>
    <i>
      <x v="5"/>
    </i>
    <i>
      <x v="6"/>
    </i>
    <i>
      <x v="7"/>
    </i>
    <i>
      <x v="8"/>
    </i>
    <i t="grand">
      <x/>
    </i>
  </rowItems>
  <colItems count="1">
    <i/>
  </colItems>
  <dataFields count="1">
    <dataField name="Count of TRL axis" fld="0"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884D642-A72C-4BB9-ADCB-0208E751F39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F3" firstHeaderRow="1" firstDataRow="2" firstDataCol="1"/>
  <pivotFields count="4">
    <pivotField axis="axisCol" dataField="1" showAll="0" sortType="ascending">
      <items count="6">
        <item x="0"/>
        <item x="1"/>
        <item x="2"/>
        <item x="3"/>
        <item h="1" x="4"/>
        <item t="default"/>
      </items>
    </pivotField>
    <pivotField showAll="0"/>
    <pivotField showAll="0"/>
    <pivotField showAll="0"/>
  </pivotFields>
  <rowItems count="1">
    <i/>
  </rowItems>
  <colFields count="1">
    <field x="0"/>
  </colFields>
  <colItems count="5">
    <i>
      <x/>
    </i>
    <i>
      <x v="1"/>
    </i>
    <i>
      <x v="2"/>
    </i>
    <i>
      <x v="3"/>
    </i>
    <i t="grand">
      <x/>
    </i>
  </colItems>
  <dataFields count="1">
    <dataField name="Count of Year" fld="0" subtotal="count" baseField="0" baseItem="0"/>
  </dataFields>
  <chartFormats count="11">
    <chartFormat chart="0" format="2" series="1">
      <pivotArea type="data" outline="0" fieldPosition="0">
        <references count="2">
          <reference field="4294967294" count="1" selected="0">
            <x v="0"/>
          </reference>
          <reference field="0" count="1" selected="0">
            <x v="0"/>
          </reference>
        </references>
      </pivotArea>
    </chartFormat>
    <chartFormat chart="0" format="3" series="1">
      <pivotArea type="data" outline="0" fieldPosition="0">
        <references count="2">
          <reference field="4294967294" count="1" selected="0">
            <x v="0"/>
          </reference>
          <reference field="0" count="1" selected="0">
            <x v="1"/>
          </reference>
        </references>
      </pivotArea>
    </chartFormat>
    <chartFormat chart="0" format="4" series="1">
      <pivotArea type="data" outline="0" fieldPosition="0">
        <references count="2">
          <reference field="4294967294" count="1" selected="0">
            <x v="0"/>
          </reference>
          <reference field="0" count="1" selected="0">
            <x v="2"/>
          </reference>
        </references>
      </pivotArea>
    </chartFormat>
    <chartFormat chart="2" format="5" series="1">
      <pivotArea type="data" outline="0" fieldPosition="0">
        <references count="2">
          <reference field="4294967294" count="1" selected="0">
            <x v="0"/>
          </reference>
          <reference field="0" count="1" selected="0">
            <x v="0"/>
          </reference>
        </references>
      </pivotArea>
    </chartFormat>
    <chartFormat chart="2" format="6" series="1">
      <pivotArea type="data" outline="0" fieldPosition="0">
        <references count="2">
          <reference field="4294967294" count="1" selected="0">
            <x v="0"/>
          </reference>
          <reference field="0" count="1" selected="0">
            <x v="1"/>
          </reference>
        </references>
      </pivotArea>
    </chartFormat>
    <chartFormat chart="2" format="7" series="1">
      <pivotArea type="data" outline="0" fieldPosition="0">
        <references count="2">
          <reference field="4294967294" count="1" selected="0">
            <x v="0"/>
          </reference>
          <reference field="0" count="1" selected="0">
            <x v="2"/>
          </reference>
        </references>
      </pivotArea>
    </chartFormat>
    <chartFormat chart="2" format="9" series="1">
      <pivotArea type="data" outline="0" fieldPosition="0">
        <references count="2">
          <reference field="4294967294" count="1" selected="0">
            <x v="0"/>
          </reference>
          <reference field="0" count="1" selected="0">
            <x v="4"/>
          </reference>
        </references>
      </pivotArea>
    </chartFormat>
    <chartFormat chart="3" format="11" series="1">
      <pivotArea type="data" outline="0" fieldPosition="0">
        <references count="2">
          <reference field="4294967294" count="1" selected="0">
            <x v="0"/>
          </reference>
          <reference field="0" count="1" selected="0">
            <x v="0"/>
          </reference>
        </references>
      </pivotArea>
    </chartFormat>
    <chartFormat chart="3" format="12" series="1">
      <pivotArea type="data" outline="0" fieldPosition="0">
        <references count="2">
          <reference field="4294967294" count="1" selected="0">
            <x v="0"/>
          </reference>
          <reference field="0" count="1" selected="0">
            <x v="1"/>
          </reference>
        </references>
      </pivotArea>
    </chartFormat>
    <chartFormat chart="3" format="13" series="1">
      <pivotArea type="data" outline="0" fieldPosition="0">
        <references count="2">
          <reference field="4294967294" count="1" selected="0">
            <x v="0"/>
          </reference>
          <reference field="0" count="1" selected="0">
            <x v="2"/>
          </reference>
        </references>
      </pivotArea>
    </chartFormat>
    <chartFormat chart="3" format="15"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0EF6745-FA77-4EB6-8F7F-24E9533A5E3E}"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1:R35" firstHeaderRow="1" firstDataRow="1" firstDataCol="1"/>
  <pivotFields count="1">
    <pivotField axis="axisRow" dataField="1" showAll="0" sortType="descending">
      <items count="35">
        <item x="8"/>
        <item x="2"/>
        <item x="17"/>
        <item x="13"/>
        <item x="11"/>
        <item x="32"/>
        <item x="4"/>
        <item x="0"/>
        <item x="1"/>
        <item x="3"/>
        <item x="5"/>
        <item x="6"/>
        <item x="7"/>
        <item x="9"/>
        <item x="10"/>
        <item x="12"/>
        <item x="15"/>
        <item x="16"/>
        <item x="18"/>
        <item x="14"/>
        <item x="19"/>
        <item x="20"/>
        <item x="21"/>
        <item x="22"/>
        <item x="23"/>
        <item x="24"/>
        <item x="25"/>
        <item x="26"/>
        <item x="27"/>
        <item x="28"/>
        <item x="29"/>
        <item x="30"/>
        <item m="1" x="33"/>
        <item x="31"/>
        <item t="default"/>
      </items>
      <autoSortScope>
        <pivotArea dataOnly="0" outline="0" fieldPosition="0">
          <references count="1">
            <reference field="4294967294" count="1" selected="0">
              <x v="0"/>
            </reference>
          </references>
        </pivotArea>
      </autoSortScope>
    </pivotField>
  </pivotFields>
  <rowFields count="1">
    <field x="0"/>
  </rowFields>
  <rowItems count="34">
    <i>
      <x v="7"/>
    </i>
    <i>
      <x v="12"/>
    </i>
    <i>
      <x v="29"/>
    </i>
    <i>
      <x v="19"/>
    </i>
    <i>
      <x v="27"/>
    </i>
    <i>
      <x v="23"/>
    </i>
    <i>
      <x v="4"/>
    </i>
    <i>
      <x v="17"/>
    </i>
    <i>
      <x v="6"/>
    </i>
    <i>
      <x v="21"/>
    </i>
    <i>
      <x v="1"/>
    </i>
    <i>
      <x v="25"/>
    </i>
    <i>
      <x v="8"/>
    </i>
    <i>
      <x v="33"/>
    </i>
    <i>
      <x v="9"/>
    </i>
    <i>
      <x v="18"/>
    </i>
    <i>
      <x v="10"/>
    </i>
    <i>
      <x v="20"/>
    </i>
    <i>
      <x v="11"/>
    </i>
    <i>
      <x v="22"/>
    </i>
    <i>
      <x v="2"/>
    </i>
    <i>
      <x v="24"/>
    </i>
    <i>
      <x v="13"/>
    </i>
    <i>
      <x v="26"/>
    </i>
    <i>
      <x v="28"/>
    </i>
    <i>
      <x v="3"/>
    </i>
    <i>
      <x v="30"/>
    </i>
    <i>
      <x v="14"/>
    </i>
    <i>
      <x v="31"/>
    </i>
    <i>
      <x v="15"/>
    </i>
    <i>
      <x/>
    </i>
    <i>
      <x v="16"/>
    </i>
    <i>
      <x v="5"/>
    </i>
    <i t="grand">
      <x/>
    </i>
  </rowItems>
  <colItems count="1">
    <i/>
  </colItems>
  <dataFields count="1">
    <dataField name="Count of First author affilia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023EFD5-F01D-4690-BD0D-B45B61B44C81}"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N35" firstHeaderRow="1" firstDataRow="1" firstDataCol="1"/>
  <pivotFields count="1">
    <pivotField axis="axisRow" dataField="1" showAll="0" sortType="descending">
      <items count="35">
        <item x="8"/>
        <item x="16"/>
        <item x="2"/>
        <item x="13"/>
        <item x="17"/>
        <item x="11"/>
        <item x="32"/>
        <item x="4"/>
        <item x="0"/>
        <item x="1"/>
        <item x="3"/>
        <item x="5"/>
        <item x="6"/>
        <item x="7"/>
        <item x="9"/>
        <item x="10"/>
        <item x="12"/>
        <item x="15"/>
        <item x="18"/>
        <item x="14"/>
        <item x="19"/>
        <item x="20"/>
        <item x="21"/>
        <item x="22"/>
        <item x="23"/>
        <item x="24"/>
        <item x="25"/>
        <item x="26"/>
        <item x="27"/>
        <item x="28"/>
        <item x="29"/>
        <item x="30"/>
        <item m="1" x="33"/>
        <item x="31"/>
        <item t="default"/>
      </items>
      <autoSortScope>
        <pivotArea dataOnly="0" outline="0" fieldPosition="0">
          <references count="1">
            <reference field="4294967294" count="1" selected="0">
              <x v="0"/>
            </reference>
          </references>
        </pivotArea>
      </autoSortScope>
    </pivotField>
  </pivotFields>
  <rowFields count="1">
    <field x="0"/>
  </rowFields>
  <rowItems count="34">
    <i>
      <x v="8"/>
    </i>
    <i>
      <x v="13"/>
    </i>
    <i>
      <x v="29"/>
    </i>
    <i>
      <x v="19"/>
    </i>
    <i>
      <x v="27"/>
    </i>
    <i>
      <x v="23"/>
    </i>
    <i>
      <x v="4"/>
    </i>
    <i>
      <x v="17"/>
    </i>
    <i>
      <x v="5"/>
    </i>
    <i>
      <x v="21"/>
    </i>
    <i>
      <x v="7"/>
    </i>
    <i>
      <x v="25"/>
    </i>
    <i>
      <x v="1"/>
    </i>
    <i>
      <x v="33"/>
    </i>
    <i>
      <x v="9"/>
    </i>
    <i>
      <x v="18"/>
    </i>
    <i>
      <x v="10"/>
    </i>
    <i>
      <x v="20"/>
    </i>
    <i>
      <x v="11"/>
    </i>
    <i>
      <x v="22"/>
    </i>
    <i>
      <x v="12"/>
    </i>
    <i>
      <x v="24"/>
    </i>
    <i>
      <x v="2"/>
    </i>
    <i>
      <x v="26"/>
    </i>
    <i>
      <x v="28"/>
    </i>
    <i>
      <x v="3"/>
    </i>
    <i>
      <x v="30"/>
    </i>
    <i>
      <x v="14"/>
    </i>
    <i>
      <x v="31"/>
    </i>
    <i>
      <x v="15"/>
    </i>
    <i>
      <x/>
    </i>
    <i>
      <x v="16"/>
    </i>
    <i>
      <x v="6"/>
    </i>
    <i t="grand">
      <x/>
    </i>
  </rowItems>
  <colItems count="1">
    <i/>
  </colItems>
  <dataFields count="1">
    <dataField name="Count of First author" fld="0" subtotal="count" baseField="0" baseItem="0"/>
  </dataFields>
  <formats count="5">
    <format dxfId="7">
      <pivotArea field="0" type="button" dataOnly="0" labelOnly="1" outline="0" axis="axisRow" fieldPosition="0"/>
    </format>
    <format dxfId="6">
      <pivotArea dataOnly="0" labelOnly="1" fieldPosition="0">
        <references count="1">
          <reference field="0" count="5">
            <x v="0"/>
            <x v="1"/>
            <x v="2"/>
            <x v="3"/>
            <x v="5"/>
          </reference>
        </references>
      </pivotArea>
    </format>
    <format dxfId="5">
      <pivotArea dataOnly="0" labelOnly="1" fieldPosition="0">
        <references count="1">
          <reference field="0" count="1">
            <x v="4"/>
          </reference>
        </references>
      </pivotArea>
    </format>
    <format dxfId="4">
      <pivotArea dataOnly="0" labelOnly="1" grandRow="1" outline="0" fieldPosition="0"/>
    </format>
    <format dxfId="3">
      <pivotArea dataOnly="0" labelOnly="1" fieldPosition="0">
        <references count="1">
          <reference field="0" count="4">
            <x v="2"/>
            <x v="8"/>
            <x v="10"/>
            <x v="1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1287AFF-4418-453B-B6F4-8A260A6E13EE}"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K15" firstHeaderRow="1" firstDataRow="1" firstDataCol="1"/>
  <pivotFields count="1">
    <pivotField axis="axisRow" dataField="1" showAll="0">
      <items count="14">
        <item x="3"/>
        <item x="2"/>
        <item x="8"/>
        <item x="6"/>
        <item x="12"/>
        <item x="4"/>
        <item x="1"/>
        <item x="0"/>
        <item x="5"/>
        <item x="9"/>
        <item x="7"/>
        <item x="10"/>
        <item x="11"/>
        <item t="default"/>
      </items>
    </pivotField>
  </pivotFields>
  <rowFields count="1">
    <field x="0"/>
  </rowFields>
  <rowItems count="14">
    <i>
      <x/>
    </i>
    <i>
      <x v="1"/>
    </i>
    <i>
      <x v="2"/>
    </i>
    <i>
      <x v="3"/>
    </i>
    <i>
      <x v="4"/>
    </i>
    <i>
      <x v="5"/>
    </i>
    <i>
      <x v="6"/>
    </i>
    <i>
      <x v="7"/>
    </i>
    <i>
      <x v="8"/>
    </i>
    <i>
      <x v="9"/>
    </i>
    <i>
      <x v="10"/>
    </i>
    <i>
      <x v="11"/>
    </i>
    <i>
      <x v="12"/>
    </i>
    <i t="grand">
      <x/>
    </i>
  </rowItems>
  <colItems count="1">
    <i/>
  </colItems>
  <dataFields count="1">
    <dataField name="Count of Journal/Conferenc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EB2A9D6-F24A-4567-8882-7367E1AE1F3F}"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
    <pivotField axis="axisRow" dataField="1" showAll="0">
      <items count="5">
        <item x="2"/>
        <item x="0"/>
        <item x="1"/>
        <item x="3"/>
        <item t="default"/>
      </items>
    </pivotField>
  </pivotFields>
  <rowFields count="1">
    <field x="0"/>
  </rowFields>
  <rowItems count="5">
    <i>
      <x/>
    </i>
    <i>
      <x v="1"/>
    </i>
    <i>
      <x v="2"/>
    </i>
    <i>
      <x v="3"/>
    </i>
    <i t="grand">
      <x/>
    </i>
  </rowItems>
  <colItems count="1">
    <i/>
  </colItems>
  <dataFields count="1">
    <dataField name="Count of Yea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72" dT="2026-01-14T09:43:47.37" personId="{0B0C2663-456E-42E8-B94D-47BDA5F13ED5}" id="{94D2A52B-E3AA-471C-897B-44F1B8B5D3DA}">
    <text>From here on: newly added on Jan 14</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drawing" Target="../drawings/drawing3.xml"/><Relationship Id="rId4"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40A08-5364-41C8-9684-0DF6836ECA42}">
  <dimension ref="A1:HM137"/>
  <sheetViews>
    <sheetView zoomScale="70" zoomScaleNormal="70" workbookViewId="0">
      <pane ySplit="1" topLeftCell="A2" activePane="bottomLeft" state="frozen"/>
      <selection activeCell="C1" sqref="C1"/>
      <selection pane="bottomLeft" activeCell="H11" sqref="H11"/>
    </sheetView>
  </sheetViews>
  <sheetFormatPr defaultColWidth="8.6640625" defaultRowHeight="55.95" customHeight="1" x14ac:dyDescent="0.3"/>
  <cols>
    <col min="1" max="1" width="8.6640625" style="7"/>
    <col min="2" max="2" width="49.88671875" style="6" customWidth="1"/>
    <col min="3" max="3" width="16" style="10" customWidth="1"/>
    <col min="4" max="4" width="14.33203125" style="7" customWidth="1"/>
    <col min="5" max="5" width="18.6640625" style="13" customWidth="1"/>
    <col min="6" max="6" width="10.33203125" style="7" customWidth="1"/>
    <col min="7" max="7" width="14.33203125" style="11" customWidth="1"/>
    <col min="8" max="8" width="30.5546875" style="28" customWidth="1"/>
    <col min="9" max="9" width="22.33203125" style="15" customWidth="1"/>
    <col min="10" max="10" width="10.88671875" style="16" customWidth="1"/>
    <col min="11" max="11" width="14.33203125" style="1" customWidth="1"/>
    <col min="12" max="12" width="14.6640625" style="1" customWidth="1"/>
    <col min="13" max="13" width="17.33203125" style="1" customWidth="1"/>
    <col min="14" max="15" width="15.109375" style="1" customWidth="1"/>
    <col min="16" max="17" width="14.33203125" style="1" customWidth="1"/>
    <col min="18" max="18" width="15.5546875" style="1" customWidth="1"/>
    <col min="19" max="19" width="43.88671875" style="6" customWidth="1"/>
    <col min="20" max="20" width="23.33203125" style="6" customWidth="1"/>
    <col min="21" max="22" width="20.88671875" style="6" customWidth="1"/>
    <col min="23" max="23" width="20.88671875" style="15" hidden="1" customWidth="1"/>
    <col min="24" max="24" width="44.33203125" style="6" customWidth="1"/>
    <col min="25" max="25" width="32.5546875" style="6" customWidth="1"/>
    <col min="26" max="27" width="11.88671875" style="1" customWidth="1"/>
    <col min="28" max="28" width="19.33203125" style="7" customWidth="1"/>
    <col min="29" max="30" width="19.33203125" style="1" customWidth="1"/>
    <col min="31" max="32" width="13.33203125" style="1" customWidth="1"/>
    <col min="33" max="33" width="47.33203125" style="1" customWidth="1"/>
    <col min="34" max="34" width="42.6640625" style="6" customWidth="1"/>
    <col min="35" max="35" width="19.5546875" style="6" customWidth="1"/>
    <col min="36" max="36" width="13.33203125" customWidth="1"/>
    <col min="37" max="37" width="11.33203125" style="23" customWidth="1"/>
    <col min="38" max="38" width="13.33203125" style="23" customWidth="1"/>
  </cols>
  <sheetData>
    <row r="1" spans="1:221" s="2" customFormat="1" ht="55.95" customHeight="1" x14ac:dyDescent="0.3">
      <c r="A1" s="9" t="s">
        <v>568</v>
      </c>
      <c r="B1" s="8" t="s">
        <v>0</v>
      </c>
      <c r="C1" s="8" t="s">
        <v>1</v>
      </c>
      <c r="D1" s="8" t="s">
        <v>2</v>
      </c>
      <c r="E1" s="12" t="s">
        <v>69</v>
      </c>
      <c r="F1" s="8" t="s">
        <v>71</v>
      </c>
      <c r="G1" s="8" t="s">
        <v>4</v>
      </c>
      <c r="H1" s="8" t="s">
        <v>5</v>
      </c>
      <c r="I1" s="8" t="s">
        <v>74</v>
      </c>
      <c r="J1" s="8" t="s">
        <v>384</v>
      </c>
      <c r="K1" s="8" t="s">
        <v>3</v>
      </c>
      <c r="L1" s="8" t="s">
        <v>223</v>
      </c>
      <c r="M1" s="8" t="s">
        <v>220</v>
      </c>
      <c r="N1" s="8" t="s">
        <v>374</v>
      </c>
      <c r="O1" s="8" t="s">
        <v>375</v>
      </c>
      <c r="P1" s="8" t="s">
        <v>1703</v>
      </c>
      <c r="Q1" s="8" t="s">
        <v>749</v>
      </c>
      <c r="R1" s="8" t="s">
        <v>376</v>
      </c>
      <c r="S1" s="8" t="s">
        <v>373</v>
      </c>
      <c r="T1" s="8" t="s">
        <v>377</v>
      </c>
      <c r="U1" s="8" t="s">
        <v>378</v>
      </c>
      <c r="V1" s="8" t="s">
        <v>379</v>
      </c>
      <c r="W1" s="18" t="s">
        <v>441</v>
      </c>
      <c r="X1" s="8" t="s">
        <v>391</v>
      </c>
      <c r="Y1" s="9" t="s">
        <v>221</v>
      </c>
      <c r="Z1" s="8" t="s">
        <v>380</v>
      </c>
      <c r="AA1" s="8" t="s">
        <v>381</v>
      </c>
      <c r="AB1" s="8" t="s">
        <v>565</v>
      </c>
      <c r="AC1" s="8" t="s">
        <v>576</v>
      </c>
      <c r="AD1" s="8" t="s">
        <v>580</v>
      </c>
      <c r="AE1" s="8" t="s">
        <v>583</v>
      </c>
      <c r="AF1" s="8" t="s">
        <v>582</v>
      </c>
      <c r="AG1" s="8" t="s">
        <v>579</v>
      </c>
      <c r="AH1" s="8" t="s">
        <v>581</v>
      </c>
      <c r="AI1" s="8" t="s">
        <v>612</v>
      </c>
      <c r="AK1" s="2" t="s">
        <v>577</v>
      </c>
      <c r="AL1" s="22" t="s">
        <v>584</v>
      </c>
    </row>
    <row r="2" spans="1:221" ht="55.95" customHeight="1" x14ac:dyDescent="0.3">
      <c r="A2" s="7">
        <v>1</v>
      </c>
      <c r="B2" s="6" t="s">
        <v>17</v>
      </c>
      <c r="C2" s="10" t="s">
        <v>291</v>
      </c>
      <c r="D2" s="7">
        <v>2024</v>
      </c>
      <c r="E2" s="13" t="s">
        <v>59</v>
      </c>
      <c r="F2" s="7">
        <v>61</v>
      </c>
      <c r="G2" s="1" t="str">
        <f t="shared" ref="G2:G33" si="0">IFERROR(LEFT(C2, FIND(";", C2) - 1), C2)</f>
        <v>Zhou B.</v>
      </c>
      <c r="H2" s="15" t="s">
        <v>183</v>
      </c>
      <c r="I2" s="15" t="s">
        <v>87</v>
      </c>
      <c r="J2" s="1" t="str">
        <f>IF(OR(
  E2="International Journal of Production Research",
  E2="Journal of Manufacturing Technology Management",
  E2="International Journal of Production Economics",
  E2="Journal of Industrial Information Integration",
  E2="Transportation Research Part E: Logistics and Transportation Review",
  E2="Journal of Cleaner Production",
  E2="MM 2024 - Proceedings of the 32nd ACM International Conference on Multimedia",
  E2="Oeconomia Copernicana",
  E2="Technology in Society"
), "MGT", "ENG")</f>
        <v>ENG</v>
      </c>
      <c r="K2" s="1" t="s">
        <v>222</v>
      </c>
      <c r="L2" s="1" t="s">
        <v>402</v>
      </c>
      <c r="M2" s="1" t="s">
        <v>401</v>
      </c>
      <c r="N2" s="1" t="s">
        <v>383</v>
      </c>
      <c r="O2" s="1" t="s">
        <v>460</v>
      </c>
      <c r="P2" s="1" t="s">
        <v>389</v>
      </c>
      <c r="R2" s="1" t="s">
        <v>390</v>
      </c>
      <c r="S2" s="6" t="s">
        <v>1752</v>
      </c>
      <c r="T2" s="6" t="s">
        <v>1753</v>
      </c>
      <c r="U2" s="6" t="s">
        <v>1754</v>
      </c>
      <c r="V2" s="6" t="s">
        <v>1755</v>
      </c>
      <c r="X2" s="6" t="s">
        <v>1756</v>
      </c>
      <c r="Y2" s="6" t="s">
        <v>392</v>
      </c>
      <c r="Z2" s="1">
        <v>4</v>
      </c>
      <c r="AA2" s="1">
        <v>4</v>
      </c>
      <c r="AB2" s="7" t="s">
        <v>566</v>
      </c>
      <c r="AC2" s="1" t="s">
        <v>578</v>
      </c>
      <c r="AD2" s="1" t="s">
        <v>573</v>
      </c>
      <c r="AE2" s="1" t="s">
        <v>225</v>
      </c>
      <c r="AF2" s="6"/>
      <c r="AG2" s="6" t="s">
        <v>571</v>
      </c>
      <c r="AH2" s="6" t="s">
        <v>567</v>
      </c>
      <c r="AK2" s="23" cm="1">
        <f t="array" ref="AK2">_xlfn.IFS(AC2="Principles observation",1, AC2="Concept formulation",2, AC2="Proof-of-concept simulation", 3, AC2="Core function validation", 4, AC2="Integration component testing", 5, AC2="Component validation in relevant environment", 6, AC2="Subsystem demonstration in relevant environment", 7, AC2="System demonstration in operational environment", 8, AC2="Production qualification", 9, AC2="Mission-proven operations", 10)</f>
        <v>4</v>
      </c>
      <c r="AL2" s="23" cm="1">
        <f t="array" ref="AL2">_xlfn.IFS(AD2="Assistive GenAI", 1, AD2="GenAI-led with human oversight", 2, AD2="Autonomous process learning", 3)</f>
        <v>1</v>
      </c>
    </row>
    <row r="3" spans="1:221" ht="55.95" customHeight="1" x14ac:dyDescent="0.3">
      <c r="A3" s="7">
        <v>2</v>
      </c>
      <c r="B3" s="6" t="s">
        <v>14</v>
      </c>
      <c r="C3" s="10" t="s">
        <v>260</v>
      </c>
      <c r="D3" s="7">
        <v>2024</v>
      </c>
      <c r="E3" s="13" t="s">
        <v>62</v>
      </c>
      <c r="F3" s="7">
        <v>45</v>
      </c>
      <c r="G3" s="1" t="str">
        <f t="shared" si="0"/>
        <v>Xia L.</v>
      </c>
      <c r="H3" s="15" t="s">
        <v>181</v>
      </c>
      <c r="I3" s="15" t="s">
        <v>84</v>
      </c>
      <c r="J3" s="1" t="str">
        <f>IF(OR(
  E3="International Journal of Production Research",
  E3="Journal of Manufacturing Technology Management",
  E3="International Journal of Production Economics",
  E3="Journal of Industrial Information Integration",
  E3="Transportation Research Part E: Logistics and Transportation Review",
  E3="Journal of Cleaner Production",
  E3="MM 2024 - Proceedings of the 32nd ACM International Conference on Multimedia",
  E3="Oeconomia Copernicana",
  E3="Technology in Society"
), "MGT", "ENG")</f>
        <v>ENG</v>
      </c>
      <c r="K3" s="1" t="s">
        <v>222</v>
      </c>
      <c r="L3" s="1" t="s">
        <v>402</v>
      </c>
      <c r="M3" s="1" t="s">
        <v>401</v>
      </c>
      <c r="N3" s="1" t="s">
        <v>383</v>
      </c>
      <c r="O3" s="1" t="s">
        <v>393</v>
      </c>
      <c r="R3" s="1" t="s">
        <v>386</v>
      </c>
      <c r="S3" s="6" t="s">
        <v>1757</v>
      </c>
      <c r="T3" s="6" t="s">
        <v>1758</v>
      </c>
      <c r="V3" s="6" t="s">
        <v>1759</v>
      </c>
      <c r="W3" s="15" t="s">
        <v>446</v>
      </c>
      <c r="X3" s="6" t="s">
        <v>1760</v>
      </c>
      <c r="Y3" s="6" t="s">
        <v>394</v>
      </c>
      <c r="Z3" s="1">
        <v>4</v>
      </c>
      <c r="AA3" s="1">
        <v>4</v>
      </c>
      <c r="AB3" s="7" t="s">
        <v>566</v>
      </c>
      <c r="AC3" s="1" t="s">
        <v>578</v>
      </c>
      <c r="AD3" s="1" t="s">
        <v>573</v>
      </c>
      <c r="AE3" s="1" t="s">
        <v>225</v>
      </c>
      <c r="AF3" s="6"/>
      <c r="AG3" s="6" t="s">
        <v>585</v>
      </c>
      <c r="AH3" s="6" t="s">
        <v>586</v>
      </c>
      <c r="AK3" s="23" cm="1">
        <f t="array" ref="AK3">_xlfn.IFS(AC3="Principles observation",1, AC3="Concept formulation",2, AC3="Proof-of-concept simulation", 3, AC3="Core function validation", 4, AC3="Integration component testing", 5, AC3="Component validation in relevant environment", 6, AC3="Subsystem demonstration in relevant environment", 7, AC3="System demonstration in operational environment", 8, AC3="Production qualification", 9, AC3="Mission-proven operations", 10)</f>
        <v>4</v>
      </c>
      <c r="AL3" s="23" cm="1">
        <f t="array" ref="AL3">_xlfn.IFS(AD3="Assistive GenAI", 1, AD3="GenAI-led with human oversight", 2, AD3="Autonomous process learning", 3)</f>
        <v>1</v>
      </c>
    </row>
    <row r="4" spans="1:221" ht="55.95" customHeight="1" x14ac:dyDescent="0.3">
      <c r="A4" s="7">
        <v>3</v>
      </c>
      <c r="B4" s="6" t="s">
        <v>235</v>
      </c>
      <c r="C4" s="10" t="s">
        <v>274</v>
      </c>
      <c r="D4" s="7">
        <v>2024</v>
      </c>
      <c r="E4" s="13" t="s">
        <v>60</v>
      </c>
      <c r="F4" s="7">
        <v>44</v>
      </c>
      <c r="G4" s="1" t="str">
        <f t="shared" si="0"/>
        <v>Jackson I.</v>
      </c>
      <c r="H4" s="15" t="s">
        <v>343</v>
      </c>
      <c r="I4" s="15" t="s">
        <v>362</v>
      </c>
      <c r="J4" s="1" t="s">
        <v>228</v>
      </c>
      <c r="K4" s="1" t="s">
        <v>222</v>
      </c>
      <c r="L4" s="1" t="s">
        <v>402</v>
      </c>
      <c r="M4" s="1" t="s">
        <v>217</v>
      </c>
      <c r="N4" s="1" t="s">
        <v>387</v>
      </c>
      <c r="O4" s="1" t="s">
        <v>397</v>
      </c>
      <c r="Q4" s="1" t="s">
        <v>395</v>
      </c>
      <c r="R4" s="1" t="s">
        <v>386</v>
      </c>
      <c r="S4" s="6" t="s">
        <v>1761</v>
      </c>
      <c r="T4" s="6" t="s">
        <v>1762</v>
      </c>
      <c r="U4" s="6" t="s">
        <v>1763</v>
      </c>
      <c r="V4" s="6" t="s">
        <v>1764</v>
      </c>
      <c r="X4" s="6" t="s">
        <v>1765</v>
      </c>
      <c r="Y4" s="6" t="s">
        <v>396</v>
      </c>
      <c r="Z4" s="1">
        <v>4</v>
      </c>
      <c r="AA4" s="1">
        <v>4</v>
      </c>
      <c r="AB4" s="7" t="s">
        <v>602</v>
      </c>
      <c r="AC4" s="1" t="s">
        <v>587</v>
      </c>
      <c r="AD4" s="1" t="s">
        <v>573</v>
      </c>
      <c r="AE4" s="1" t="s">
        <v>225</v>
      </c>
      <c r="AF4" s="6"/>
      <c r="AG4" s="6" t="s">
        <v>588</v>
      </c>
      <c r="AH4" s="6" t="s">
        <v>589</v>
      </c>
      <c r="AK4" s="23" cm="1">
        <f t="array" ref="AK4">_xlfn.IFS(AC4="Principles observation",1, AC4="Concept formulation",2, AC4="Proof-of-concept simulation", 3, AC4="Core function validation", 4, AC4="Integration component testing", 5, AC4="Component validation in relevant environment", 6, AC4="Subsystem demonstration in relevant environment", 7, AC4="System demonstration in operational environment", 8, AC4="Production qualification", 9, AC4="Mission-proven operations", 10)</f>
        <v>3</v>
      </c>
      <c r="AL4" s="23" cm="1">
        <f t="array" ref="AL4">_xlfn.IFS(AD4="Assistive GenAI", 1, AD4="GenAI-led with human oversight", 2, AD4="Autonomous process learning", 3)</f>
        <v>1</v>
      </c>
    </row>
    <row r="5" spans="1:221" ht="59.25" customHeight="1" x14ac:dyDescent="0.3">
      <c r="A5" s="7">
        <v>4</v>
      </c>
      <c r="B5" s="6" t="s">
        <v>15</v>
      </c>
      <c r="C5" s="10" t="s">
        <v>307</v>
      </c>
      <c r="D5" s="7">
        <v>2024</v>
      </c>
      <c r="E5" s="13" t="s">
        <v>57</v>
      </c>
      <c r="F5" s="7">
        <v>35</v>
      </c>
      <c r="G5" s="1" t="str">
        <f t="shared" si="0"/>
        <v>Gkournelos C.</v>
      </c>
      <c r="H5" s="15" t="s">
        <v>353</v>
      </c>
      <c r="I5" s="15" t="s">
        <v>85</v>
      </c>
      <c r="J5" s="1" t="str">
        <f>IF(OR(
  E5="International Journal of Production Research",
  E5="Journal of Manufacturing Technology Management",
  E5="International Journal of Production Economics",
  E5="Journal of Industrial Information Integration",
  E5="Transportation Research Part E: Logistics and Transportation Review",
  E5="Journal of Cleaner Production",
  E5="MM 2024 - Proceedings of the 32nd ACM International Conference on Multimedia",
  E5="Oeconomia Copernicana",
  E5="Technology in Society"
), "MGT", "ENG")</f>
        <v>ENG</v>
      </c>
      <c r="K5" s="1" t="s">
        <v>222</v>
      </c>
      <c r="L5" s="1" t="s">
        <v>402</v>
      </c>
      <c r="M5" s="1" t="s">
        <v>217</v>
      </c>
      <c r="N5" s="1" t="s">
        <v>383</v>
      </c>
      <c r="O5" s="1" t="s">
        <v>484</v>
      </c>
      <c r="P5" s="1" t="s">
        <v>399</v>
      </c>
      <c r="R5" s="1" t="s">
        <v>386</v>
      </c>
      <c r="S5" s="6" t="s">
        <v>1766</v>
      </c>
      <c r="T5" s="6" t="s">
        <v>1767</v>
      </c>
      <c r="X5" s="6" t="s">
        <v>1768</v>
      </c>
      <c r="Y5" s="6" t="s">
        <v>400</v>
      </c>
      <c r="Z5" s="1">
        <v>4</v>
      </c>
      <c r="AA5" s="1">
        <v>2</v>
      </c>
      <c r="AB5" s="7" t="s">
        <v>566</v>
      </c>
      <c r="AC5" s="1" t="s">
        <v>590</v>
      </c>
      <c r="AD5" s="1" t="s">
        <v>574</v>
      </c>
      <c r="AE5" s="1" t="s">
        <v>225</v>
      </c>
      <c r="AF5" s="6"/>
      <c r="AG5" s="6" t="s">
        <v>591</v>
      </c>
      <c r="AH5" s="6" t="s">
        <v>592</v>
      </c>
      <c r="AK5" s="23" cm="1">
        <f t="array" ref="AK5">_xlfn.IFS(AC5="Principles observation",1, AC5="Concept formulation",2, AC5="Proof-of-concept simulation", 3, AC5="Core function validation", 4, AC5="Integration component testing", 5, AC5="Component validation in relevant environment", 6, AC5="Subsystem demonstration in relevant environment", 7, AC5="System demonstration in operational environment", 8, AC5="Production qualification", 9, AC5="Mission-proven operations", 10)</f>
        <v>5</v>
      </c>
      <c r="AL5" s="23" cm="1">
        <f t="array" ref="AL5">_xlfn.IFS(AD5="Assistive GenAI", 1, AD5="GenAI-led with human oversight", 2, AD5="Autonomous process learning", 3)</f>
        <v>2</v>
      </c>
    </row>
    <row r="6" spans="1:221" ht="55.95" customHeight="1" x14ac:dyDescent="0.3">
      <c r="A6" s="7">
        <v>5</v>
      </c>
      <c r="B6" s="6" t="s">
        <v>31</v>
      </c>
      <c r="C6" s="10" t="s">
        <v>310</v>
      </c>
      <c r="D6" s="7">
        <v>2024</v>
      </c>
      <c r="E6" s="13" t="s">
        <v>58</v>
      </c>
      <c r="F6" s="7">
        <v>29</v>
      </c>
      <c r="G6" s="1" t="str">
        <f t="shared" si="0"/>
        <v>Wang T.</v>
      </c>
      <c r="H6" s="15" t="s">
        <v>181</v>
      </c>
      <c r="I6" s="15" t="s">
        <v>101</v>
      </c>
      <c r="J6" s="1" t="str">
        <f>IF(OR(
  E6="International Journal of Production Research",
  E6="Journal of Manufacturing Technology Management",
  E6="International Journal of Production Economics",
  E6="Journal of Industrial Information Integration",
  E6="Transportation Research Part E: Logistics and Transportation Review",
  E6="Journal of Cleaner Production",
  E6="MM 2024 - Proceedings of the 32nd ACM International Conference on Multimedia",
  E6="Oeconomia Copernicana",
  E6="Technology in Society"
), "MGT", "ENG")</f>
        <v>ENG</v>
      </c>
      <c r="K6" s="1" t="s">
        <v>222</v>
      </c>
      <c r="L6" s="1" t="s">
        <v>402</v>
      </c>
      <c r="M6" s="1" t="s">
        <v>217</v>
      </c>
      <c r="N6" s="1" t="s">
        <v>383</v>
      </c>
      <c r="O6" s="1" t="s">
        <v>393</v>
      </c>
      <c r="R6" s="1" t="s">
        <v>386</v>
      </c>
      <c r="S6" s="6" t="s">
        <v>1769</v>
      </c>
      <c r="W6" s="15" t="s">
        <v>446</v>
      </c>
      <c r="X6" s="6" t="s">
        <v>1770</v>
      </c>
      <c r="Y6" s="6" t="s">
        <v>569</v>
      </c>
      <c r="Z6" s="1">
        <v>4</v>
      </c>
      <c r="AA6" s="1">
        <v>3</v>
      </c>
      <c r="AB6" s="7" t="s">
        <v>602</v>
      </c>
      <c r="AC6" s="1" t="s">
        <v>587</v>
      </c>
      <c r="AD6" s="1" t="s">
        <v>574</v>
      </c>
      <c r="AE6" s="1" t="s">
        <v>225</v>
      </c>
      <c r="AF6" s="6"/>
      <c r="AG6" s="6" t="s">
        <v>593</v>
      </c>
      <c r="AH6" s="6" t="s">
        <v>594</v>
      </c>
      <c r="AK6" s="23" cm="1">
        <f t="array" ref="AK6">_xlfn.IFS(AC6="Principles observation",1, AC6="Concept formulation",2, AC6="Proof-of-concept simulation", 3, AC6="Core function validation", 4, AC6="Integration component testing", 5, AC6="Component validation in relevant environment", 6, AC6="Subsystem demonstration in relevant environment", 7, AC6="System demonstration in operational environment", 8, AC6="Production qualification", 9, AC6="Mission-proven operations", 10)</f>
        <v>3</v>
      </c>
      <c r="AL6" s="23" cm="1">
        <f t="array" ref="AL6">_xlfn.IFS(AD6="Assistive GenAI", 1, AD6="GenAI-led with human oversight", 2, AD6="Autonomous process learning", 3)</f>
        <v>2</v>
      </c>
    </row>
    <row r="7" spans="1:221" s="11" customFormat="1" ht="55.95" customHeight="1" x14ac:dyDescent="0.3">
      <c r="A7" s="1">
        <v>6</v>
      </c>
      <c r="B7" s="6" t="s">
        <v>55</v>
      </c>
      <c r="C7" s="10" t="s">
        <v>265</v>
      </c>
      <c r="D7" s="7">
        <v>2024</v>
      </c>
      <c r="E7" s="13" t="s">
        <v>58</v>
      </c>
      <c r="F7" s="7">
        <v>26</v>
      </c>
      <c r="G7" s="1" t="str">
        <f t="shared" si="0"/>
        <v>Sun Y.</v>
      </c>
      <c r="H7" s="15" t="s">
        <v>177</v>
      </c>
      <c r="I7" s="15" t="s">
        <v>127</v>
      </c>
      <c r="J7" s="1" t="str">
        <f>IF(OR(
  E7="International Journal of Production Research",
  E7="Journal of Manufacturing Technology Management",
  E7="International Journal of Production Economics",
  E7="Journal of Industrial Information Integration",
  E7="Transportation Research Part E: Logistics and Transportation Review",
  E7="Journal of Cleaner Production",
  E7="MM 2024 - Proceedings of the 32nd ACM International Conference on Multimedia",
  E7="Oeconomia Copernicana",
  E7="Technology in Society"
), "MGT", "ENG")</f>
        <v>ENG</v>
      </c>
      <c r="K7" s="1" t="s">
        <v>222</v>
      </c>
      <c r="L7" s="1"/>
      <c r="M7" s="1"/>
      <c r="N7" s="1" t="s">
        <v>471</v>
      </c>
      <c r="O7" s="1" t="s">
        <v>477</v>
      </c>
      <c r="P7" s="1"/>
      <c r="Q7" s="1"/>
      <c r="R7" s="1" t="s">
        <v>403</v>
      </c>
      <c r="S7" s="6" t="s">
        <v>1771</v>
      </c>
      <c r="T7" s="6"/>
      <c r="U7" s="6"/>
      <c r="V7" s="6"/>
      <c r="W7" s="15"/>
      <c r="X7" s="6" t="s">
        <v>1772</v>
      </c>
      <c r="Y7" s="6" t="s">
        <v>404</v>
      </c>
      <c r="Z7" s="1">
        <v>3</v>
      </c>
      <c r="AA7" s="1">
        <v>3</v>
      </c>
      <c r="AB7" s="7" t="s">
        <v>602</v>
      </c>
      <c r="AC7" s="1" t="s">
        <v>587</v>
      </c>
      <c r="AD7" s="1" t="s">
        <v>573</v>
      </c>
      <c r="AE7" s="1" t="s">
        <v>225</v>
      </c>
      <c r="AF7" s="6"/>
      <c r="AG7" s="6" t="s">
        <v>595</v>
      </c>
      <c r="AH7" s="6" t="s">
        <v>570</v>
      </c>
      <c r="AI7" s="6"/>
      <c r="AJ7" s="20"/>
      <c r="AK7" s="23" cm="1">
        <f t="array" ref="AK7">_xlfn.IFS(AC7="Principles observation",1, AC7="Concept formulation",2, AC7="Proof-of-concept simulation", 3, AC7="Core function validation", 4, AC7="Integration component testing", 5, AC7="Component validation in relevant environment", 6, AC7="Subsystem demonstration in relevant environment", 7, AC7="System demonstration in operational environment", 8, AC7="Production qualification", 9, AC7="Mission-proven operations", 10)</f>
        <v>3</v>
      </c>
      <c r="AL7" s="23" cm="1">
        <f t="array" ref="AL7">_xlfn.IFS(AD7="Assistive GenAI", 1, AD7="GenAI-led with human oversight", 2, AD7="Autonomous process learning", 3)</f>
        <v>1</v>
      </c>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c r="CX7" s="20"/>
      <c r="CY7" s="20"/>
      <c r="CZ7" s="20"/>
      <c r="DA7" s="20"/>
      <c r="DB7" s="20"/>
      <c r="DC7" s="20"/>
      <c r="DD7" s="20"/>
      <c r="DE7" s="20"/>
      <c r="DF7" s="20"/>
      <c r="DG7" s="20"/>
      <c r="DH7" s="20"/>
      <c r="DI7" s="20"/>
      <c r="DJ7" s="20"/>
      <c r="DK7" s="20"/>
      <c r="DL7" s="20"/>
      <c r="DM7" s="20"/>
      <c r="DN7" s="20"/>
      <c r="DO7" s="20"/>
      <c r="DP7" s="20"/>
      <c r="DQ7" s="20"/>
      <c r="DR7" s="20"/>
      <c r="DS7" s="20"/>
      <c r="DT7" s="20"/>
      <c r="DU7" s="20"/>
      <c r="DV7" s="20"/>
      <c r="DW7" s="20"/>
      <c r="DX7" s="20"/>
      <c r="DY7" s="20"/>
      <c r="DZ7" s="20"/>
      <c r="EA7" s="20"/>
      <c r="EB7" s="20"/>
      <c r="EC7" s="20"/>
      <c r="ED7" s="20"/>
      <c r="EE7" s="20"/>
      <c r="EF7" s="20"/>
      <c r="EG7" s="20"/>
      <c r="EH7" s="20"/>
      <c r="EI7" s="20"/>
      <c r="EJ7" s="20"/>
      <c r="EK7" s="20"/>
      <c r="EL7" s="20"/>
      <c r="EM7" s="20"/>
      <c r="EN7" s="20"/>
      <c r="EO7" s="20"/>
      <c r="EP7" s="20"/>
      <c r="EQ7" s="20"/>
      <c r="ER7" s="20"/>
      <c r="ES7" s="20"/>
      <c r="ET7" s="20"/>
      <c r="EU7" s="20"/>
      <c r="EV7" s="20"/>
      <c r="EW7" s="20"/>
      <c r="EX7" s="20"/>
      <c r="EY7" s="20"/>
      <c r="EZ7" s="20"/>
      <c r="FA7" s="20"/>
      <c r="FB7" s="20"/>
      <c r="FC7" s="20"/>
      <c r="FD7" s="20"/>
      <c r="FE7" s="20"/>
      <c r="FF7" s="20"/>
      <c r="FG7" s="20"/>
      <c r="FH7" s="20"/>
      <c r="FI7" s="20"/>
      <c r="FJ7" s="20"/>
      <c r="FK7" s="20"/>
      <c r="FL7" s="20"/>
      <c r="FM7" s="20"/>
      <c r="FN7" s="20"/>
      <c r="FO7" s="20"/>
      <c r="FP7" s="20"/>
      <c r="FQ7" s="20"/>
      <c r="FR7" s="20"/>
      <c r="FS7" s="20"/>
      <c r="FT7" s="20"/>
      <c r="FU7" s="20"/>
      <c r="FV7" s="20"/>
      <c r="FW7" s="20"/>
      <c r="FX7" s="20"/>
      <c r="FY7" s="20"/>
      <c r="FZ7" s="20"/>
      <c r="GA7" s="20"/>
      <c r="GB7" s="20"/>
      <c r="GC7" s="20"/>
      <c r="GD7" s="20"/>
      <c r="GE7" s="20"/>
      <c r="GF7" s="20"/>
      <c r="GG7" s="20"/>
      <c r="GH7" s="20"/>
      <c r="GI7" s="20"/>
      <c r="GJ7" s="20"/>
      <c r="GK7" s="20"/>
      <c r="GL7" s="20"/>
      <c r="GM7" s="20"/>
      <c r="GN7" s="20"/>
      <c r="GO7" s="20"/>
      <c r="GP7" s="20"/>
      <c r="GQ7" s="20"/>
      <c r="GR7" s="20"/>
      <c r="GS7" s="20"/>
      <c r="GT7" s="20"/>
      <c r="GU7" s="20"/>
      <c r="GV7" s="20"/>
      <c r="GW7" s="20"/>
      <c r="GX7" s="20"/>
      <c r="GY7" s="20"/>
      <c r="GZ7" s="20"/>
      <c r="HA7" s="20"/>
      <c r="HB7" s="20"/>
      <c r="HC7" s="20"/>
      <c r="HD7" s="20"/>
      <c r="HE7" s="20"/>
      <c r="HF7" s="20"/>
      <c r="HG7" s="20"/>
      <c r="HH7" s="20"/>
      <c r="HI7" s="20"/>
      <c r="HJ7" s="20"/>
      <c r="HK7" s="20"/>
      <c r="HL7" s="20"/>
      <c r="HM7" s="20"/>
    </row>
    <row r="8" spans="1:221" s="11" customFormat="1" ht="55.95" customHeight="1" x14ac:dyDescent="0.3">
      <c r="A8" s="1">
        <v>7</v>
      </c>
      <c r="B8" s="6" t="s">
        <v>42</v>
      </c>
      <c r="C8" s="10" t="s">
        <v>264</v>
      </c>
      <c r="D8" s="7">
        <v>2024</v>
      </c>
      <c r="E8" s="13" t="s">
        <v>57</v>
      </c>
      <c r="F8" s="7">
        <v>16</v>
      </c>
      <c r="G8" s="1" t="str">
        <f t="shared" si="0"/>
        <v>Zheng P.</v>
      </c>
      <c r="H8" s="15" t="s">
        <v>181</v>
      </c>
      <c r="I8" s="15" t="s">
        <v>114</v>
      </c>
      <c r="J8" s="1" t="str">
        <f>IF(OR(
  E8="International Journal of Production Research",
  E8="Journal of Manufacturing Technology Management",
  E8="International Journal of Production Economics",
  E8="Journal of Industrial Information Integration",
  E8="Transportation Research Part E: Logistics and Transportation Review",
  E8="Journal of Cleaner Production",
  E8="MM 2024 - Proceedings of the 32nd ACM International Conference on Multimedia",
  E8="Oeconomia Copernicana",
  E8="Technology in Society"
), "MGT", "ENG")</f>
        <v>ENG</v>
      </c>
      <c r="K8" s="1" t="s">
        <v>222</v>
      </c>
      <c r="L8" s="1" t="s">
        <v>402</v>
      </c>
      <c r="M8" s="1" t="s">
        <v>401</v>
      </c>
      <c r="N8" s="1" t="s">
        <v>383</v>
      </c>
      <c r="O8" s="1" t="s">
        <v>393</v>
      </c>
      <c r="P8" s="1"/>
      <c r="Q8" s="1"/>
      <c r="R8" s="1" t="s">
        <v>386</v>
      </c>
      <c r="S8" s="6" t="s">
        <v>1773</v>
      </c>
      <c r="T8" s="6" t="s">
        <v>1774</v>
      </c>
      <c r="U8" s="6"/>
      <c r="V8" s="6"/>
      <c r="W8" s="15" t="s">
        <v>446</v>
      </c>
      <c r="X8" s="6" t="s">
        <v>1775</v>
      </c>
      <c r="Y8" s="6" t="s">
        <v>405</v>
      </c>
      <c r="Z8" s="1">
        <v>4</v>
      </c>
      <c r="AA8" s="1">
        <v>3</v>
      </c>
      <c r="AB8" s="7" t="s">
        <v>566</v>
      </c>
      <c r="AC8" s="1" t="s">
        <v>590</v>
      </c>
      <c r="AD8" s="1" t="s">
        <v>574</v>
      </c>
      <c r="AE8" s="1" t="s">
        <v>225</v>
      </c>
      <c r="AF8" s="6"/>
      <c r="AG8" s="6" t="s">
        <v>596</v>
      </c>
      <c r="AH8" s="6" t="s">
        <v>572</v>
      </c>
      <c r="AI8" s="6"/>
      <c r="AJ8" s="20"/>
      <c r="AK8" s="23" cm="1">
        <f t="array" ref="AK8">_xlfn.IFS(AC8="Principles observation",1, AC8="Concept formulation",2, AC8="Proof-of-concept simulation", 3, AC8="Core function validation", 4, AC8="Integration component testing", 5, AC8="Component validation in relevant environment", 6, AC8="Subsystem demonstration in relevant environment", 7, AC8="System demonstration in operational environment", 8, AC8="Production qualification", 9, AC8="Mission-proven operations", 10)</f>
        <v>5</v>
      </c>
      <c r="AL8" s="23" cm="1">
        <f t="array" ref="AL8">_xlfn.IFS(AD8="Assistive GenAI", 1, AD8="GenAI-led with human oversight", 2, AD8="Autonomous process learning", 3)</f>
        <v>2</v>
      </c>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c r="CM8" s="20"/>
      <c r="CN8" s="20"/>
      <c r="CO8" s="20"/>
      <c r="CP8" s="20"/>
      <c r="CQ8" s="20"/>
      <c r="CR8" s="20"/>
      <c r="CS8" s="20"/>
      <c r="CT8" s="20"/>
      <c r="CU8" s="20"/>
      <c r="CV8" s="20"/>
      <c r="CW8" s="20"/>
      <c r="CX8" s="20"/>
      <c r="CY8" s="20"/>
      <c r="CZ8" s="20"/>
      <c r="DA8" s="20"/>
      <c r="DB8" s="20"/>
      <c r="DC8" s="20"/>
      <c r="DD8" s="20"/>
      <c r="DE8" s="20"/>
      <c r="DF8" s="20"/>
      <c r="DG8" s="20"/>
      <c r="DH8" s="20"/>
      <c r="DI8" s="20"/>
      <c r="DJ8" s="20"/>
      <c r="DK8" s="20"/>
      <c r="DL8" s="20"/>
      <c r="DM8" s="20"/>
      <c r="DN8" s="20"/>
      <c r="DO8" s="20"/>
      <c r="DP8" s="20"/>
      <c r="DQ8" s="20"/>
      <c r="DR8" s="20"/>
      <c r="DS8" s="20"/>
      <c r="DT8" s="20"/>
      <c r="DU8" s="20"/>
      <c r="DV8" s="20"/>
      <c r="DW8" s="20"/>
      <c r="DX8" s="20"/>
      <c r="DY8" s="20"/>
      <c r="DZ8" s="20"/>
      <c r="EA8" s="20"/>
      <c r="EB8" s="20"/>
      <c r="EC8" s="20"/>
      <c r="ED8" s="20"/>
      <c r="EE8" s="20"/>
      <c r="EF8" s="20"/>
      <c r="EG8" s="20"/>
      <c r="EH8" s="20"/>
      <c r="EI8" s="20"/>
      <c r="EJ8" s="20"/>
      <c r="EK8" s="20"/>
      <c r="EL8" s="20"/>
      <c r="EM8" s="20"/>
      <c r="EN8" s="20"/>
      <c r="EO8" s="20"/>
      <c r="EP8" s="20"/>
      <c r="EQ8" s="20"/>
      <c r="ER8" s="20"/>
      <c r="ES8" s="20"/>
      <c r="ET8" s="20"/>
      <c r="EU8" s="20"/>
      <c r="EV8" s="20"/>
      <c r="EW8" s="20"/>
      <c r="EX8" s="20"/>
      <c r="EY8" s="20"/>
      <c r="EZ8" s="20"/>
      <c r="FA8" s="20"/>
      <c r="FB8" s="20"/>
      <c r="FC8" s="20"/>
      <c r="FD8" s="20"/>
      <c r="FE8" s="20"/>
      <c r="FF8" s="20"/>
      <c r="FG8" s="20"/>
      <c r="FH8" s="20"/>
      <c r="FI8" s="20"/>
      <c r="FJ8" s="20"/>
      <c r="FK8" s="20"/>
      <c r="FL8" s="20"/>
      <c r="FM8" s="20"/>
      <c r="FN8" s="20"/>
      <c r="FO8" s="20"/>
      <c r="FP8" s="20"/>
      <c r="FQ8" s="20"/>
      <c r="FR8" s="20"/>
      <c r="FS8" s="20"/>
      <c r="FT8" s="20"/>
      <c r="FU8" s="20"/>
      <c r="FV8" s="20"/>
      <c r="FW8" s="20"/>
      <c r="FX8" s="20"/>
      <c r="FY8" s="20"/>
      <c r="FZ8" s="20"/>
      <c r="GA8" s="20"/>
      <c r="GB8" s="20"/>
      <c r="GC8" s="20"/>
      <c r="GD8" s="20"/>
      <c r="GE8" s="20"/>
      <c r="GF8" s="20"/>
      <c r="GG8" s="20"/>
      <c r="GH8" s="20"/>
      <c r="GI8" s="20"/>
      <c r="GJ8" s="20"/>
      <c r="GK8" s="20"/>
      <c r="GL8" s="20"/>
      <c r="GM8" s="20"/>
      <c r="GN8" s="20"/>
      <c r="GO8" s="20"/>
      <c r="GP8" s="20"/>
      <c r="GQ8" s="20"/>
      <c r="GR8" s="20"/>
      <c r="GS8" s="20"/>
      <c r="GT8" s="20"/>
      <c r="GU8" s="20"/>
      <c r="GV8" s="20"/>
      <c r="GW8" s="20"/>
      <c r="GX8" s="20"/>
      <c r="GY8" s="20"/>
      <c r="GZ8" s="20"/>
      <c r="HA8" s="20"/>
      <c r="HB8" s="20"/>
      <c r="HC8" s="20"/>
      <c r="HD8" s="20"/>
      <c r="HE8" s="20"/>
      <c r="HF8" s="20"/>
      <c r="HG8" s="20"/>
      <c r="HH8" s="20"/>
      <c r="HI8" s="20"/>
      <c r="HJ8" s="20"/>
      <c r="HK8" s="20"/>
      <c r="HL8" s="20"/>
      <c r="HM8" s="20"/>
    </row>
    <row r="9" spans="1:221" s="11" customFormat="1" ht="55.95" customHeight="1" x14ac:dyDescent="0.3">
      <c r="A9" s="1">
        <v>8</v>
      </c>
      <c r="B9" s="6" t="s">
        <v>48</v>
      </c>
      <c r="C9" s="10" t="s">
        <v>272</v>
      </c>
      <c r="D9" s="7">
        <v>2024</v>
      </c>
      <c r="E9" s="13" t="s">
        <v>65</v>
      </c>
      <c r="F9" s="7">
        <v>14</v>
      </c>
      <c r="G9" s="1" t="str">
        <f t="shared" si="0"/>
        <v>Li Y.</v>
      </c>
      <c r="H9" s="15" t="s">
        <v>200</v>
      </c>
      <c r="I9" s="15" t="s">
        <v>120</v>
      </c>
      <c r="J9" s="1" t="s">
        <v>228</v>
      </c>
      <c r="K9" s="1" t="s">
        <v>222</v>
      </c>
      <c r="L9" s="1" t="s">
        <v>402</v>
      </c>
      <c r="M9" s="1" t="s">
        <v>217</v>
      </c>
      <c r="N9" s="1" t="s">
        <v>387</v>
      </c>
      <c r="O9" s="1" t="s">
        <v>406</v>
      </c>
      <c r="P9" s="1"/>
      <c r="Q9" s="1"/>
      <c r="R9" s="1" t="s">
        <v>390</v>
      </c>
      <c r="S9" s="6" t="s">
        <v>1776</v>
      </c>
      <c r="T9" s="6" t="s">
        <v>1777</v>
      </c>
      <c r="U9" s="6"/>
      <c r="V9" s="6" t="s">
        <v>1778</v>
      </c>
      <c r="W9" s="15" t="s">
        <v>442</v>
      </c>
      <c r="X9" s="6" t="s">
        <v>1779</v>
      </c>
      <c r="Y9" s="6" t="s">
        <v>407</v>
      </c>
      <c r="Z9" s="1">
        <v>5</v>
      </c>
      <c r="AA9" s="1">
        <v>4</v>
      </c>
      <c r="AB9" s="7" t="s">
        <v>566</v>
      </c>
      <c r="AC9" s="1" t="s">
        <v>578</v>
      </c>
      <c r="AD9" s="1" t="s">
        <v>573</v>
      </c>
      <c r="AE9" s="1" t="s">
        <v>225</v>
      </c>
      <c r="AF9" s="6"/>
      <c r="AG9" s="6" t="s">
        <v>597</v>
      </c>
      <c r="AH9" s="6" t="s">
        <v>598</v>
      </c>
      <c r="AI9" s="6"/>
      <c r="AJ9" s="20"/>
      <c r="AK9" s="23" cm="1">
        <f t="array" ref="AK9">_xlfn.IFS(AC9="Principles observation",1, AC9="Concept formulation",2, AC9="Proof-of-concept simulation", 3, AC9="Core function validation", 4, AC9="Integration component testing", 5, AC9="Component validation in relevant environment", 6, AC9="Subsystem demonstration in relevant environment", 7, AC9="System demonstration in operational environment", 8, AC9="Production qualification", 9, AC9="Mission-proven operations", 10)</f>
        <v>4</v>
      </c>
      <c r="AL9" s="23" cm="1">
        <f t="array" ref="AL9">_xlfn.IFS(AD9="Assistive GenAI", 1, AD9="GenAI-led with human oversight", 2, AD9="Autonomous process learning", 3)</f>
        <v>1</v>
      </c>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c r="CO9" s="20"/>
      <c r="CP9" s="20"/>
      <c r="CQ9" s="20"/>
      <c r="CR9" s="20"/>
      <c r="CS9" s="20"/>
      <c r="CT9" s="20"/>
      <c r="CU9" s="20"/>
      <c r="CV9" s="20"/>
      <c r="CW9" s="20"/>
      <c r="CX9" s="20"/>
      <c r="CY9" s="20"/>
      <c r="CZ9" s="20"/>
      <c r="DA9" s="20"/>
      <c r="DB9" s="20"/>
      <c r="DC9" s="20"/>
      <c r="DD9" s="20"/>
      <c r="DE9" s="20"/>
      <c r="DF9" s="20"/>
      <c r="DG9" s="20"/>
      <c r="DH9" s="20"/>
      <c r="DI9" s="20"/>
      <c r="DJ9" s="20"/>
      <c r="DK9" s="20"/>
      <c r="DL9" s="20"/>
      <c r="DM9" s="20"/>
      <c r="DN9" s="20"/>
      <c r="DO9" s="20"/>
      <c r="DP9" s="20"/>
      <c r="DQ9" s="20"/>
      <c r="DR9" s="20"/>
      <c r="DS9" s="20"/>
      <c r="DT9" s="20"/>
      <c r="DU9" s="20"/>
      <c r="DV9" s="20"/>
      <c r="DW9" s="20"/>
      <c r="DX9" s="20"/>
      <c r="DY9" s="20"/>
      <c r="DZ9" s="20"/>
      <c r="EA9" s="20"/>
      <c r="EB9" s="20"/>
      <c r="EC9" s="20"/>
      <c r="ED9" s="20"/>
      <c r="EE9" s="20"/>
      <c r="EF9" s="20"/>
      <c r="EG9" s="20"/>
      <c r="EH9" s="20"/>
      <c r="EI9" s="20"/>
      <c r="EJ9" s="20"/>
      <c r="EK9" s="20"/>
      <c r="EL9" s="20"/>
      <c r="EM9" s="20"/>
      <c r="EN9" s="20"/>
      <c r="EO9" s="20"/>
      <c r="EP9" s="20"/>
      <c r="EQ9" s="20"/>
      <c r="ER9" s="20"/>
      <c r="ES9" s="20"/>
      <c r="ET9" s="20"/>
      <c r="EU9" s="20"/>
      <c r="EV9" s="20"/>
      <c r="EW9" s="20"/>
      <c r="EX9" s="20"/>
      <c r="EY9" s="20"/>
      <c r="EZ9" s="20"/>
      <c r="FA9" s="20"/>
      <c r="FB9" s="20"/>
      <c r="FC9" s="20"/>
      <c r="FD9" s="20"/>
      <c r="FE9" s="20"/>
      <c r="FF9" s="20"/>
      <c r="FG9" s="20"/>
      <c r="FH9" s="20"/>
      <c r="FI9" s="20"/>
      <c r="FJ9" s="20"/>
      <c r="FK9" s="20"/>
      <c r="FL9" s="20"/>
      <c r="FM9" s="20"/>
      <c r="FN9" s="20"/>
      <c r="FO9" s="20"/>
      <c r="FP9" s="20"/>
      <c r="FQ9" s="20"/>
      <c r="FR9" s="20"/>
      <c r="FS9" s="20"/>
      <c r="FT9" s="20"/>
      <c r="FU9" s="20"/>
      <c r="FV9" s="20"/>
      <c r="FW9" s="20"/>
      <c r="FX9" s="20"/>
      <c r="FY9" s="20"/>
      <c r="FZ9" s="20"/>
      <c r="GA9" s="20"/>
      <c r="GB9" s="20"/>
      <c r="GC9" s="20"/>
      <c r="GD9" s="20"/>
      <c r="GE9" s="20"/>
      <c r="GF9" s="20"/>
      <c r="GG9" s="20"/>
      <c r="GH9" s="20"/>
      <c r="GI9" s="20"/>
      <c r="GJ9" s="20"/>
      <c r="GK9" s="20"/>
      <c r="GL9" s="20"/>
      <c r="GM9" s="20"/>
      <c r="GN9" s="20"/>
      <c r="GO9" s="20"/>
      <c r="GP9" s="20"/>
      <c r="GQ9" s="20"/>
      <c r="GR9" s="20"/>
      <c r="GS9" s="20"/>
      <c r="GT9" s="20"/>
      <c r="GU9" s="20"/>
      <c r="GV9" s="20"/>
      <c r="GW9" s="20"/>
      <c r="GX9" s="20"/>
      <c r="GY9" s="20"/>
      <c r="GZ9" s="20"/>
      <c r="HA9" s="20"/>
      <c r="HB9" s="20"/>
      <c r="HC9" s="20"/>
      <c r="HD9" s="20"/>
      <c r="HE9" s="20"/>
      <c r="HF9" s="20"/>
      <c r="HG9" s="20"/>
      <c r="HH9" s="20"/>
      <c r="HI9" s="20"/>
      <c r="HJ9" s="20"/>
      <c r="HK9" s="20"/>
      <c r="HL9" s="20"/>
      <c r="HM9" s="20"/>
    </row>
    <row r="10" spans="1:221" s="11" customFormat="1" ht="55.95" customHeight="1" x14ac:dyDescent="0.3">
      <c r="A10" s="1">
        <v>9</v>
      </c>
      <c r="B10" s="6" t="s">
        <v>47</v>
      </c>
      <c r="C10" s="10" t="s">
        <v>298</v>
      </c>
      <c r="D10" s="7">
        <v>2024</v>
      </c>
      <c r="E10" s="13" t="s">
        <v>58</v>
      </c>
      <c r="F10" s="7">
        <v>12</v>
      </c>
      <c r="G10" s="1" t="str">
        <f t="shared" si="0"/>
        <v>Fan J.</v>
      </c>
      <c r="H10" s="15" t="s">
        <v>181</v>
      </c>
      <c r="I10" s="15" t="s">
        <v>119</v>
      </c>
      <c r="J10" s="1" t="str">
        <f t="shared" ref="J10:J16" si="1">IF(OR(
  E10="International Journal of Production Research",
  E10="Journal of Manufacturing Technology Management",
  E10="International Journal of Production Economics",
  E10="Journal of Industrial Information Integration",
  E10="Transportation Research Part E: Logistics and Transportation Review",
  E10="Journal of Cleaner Production",
  E10="MM 2024 - Proceedings of the 32nd ACM International Conference on Multimedia",
  E10="Oeconomia Copernicana",
  E10="Technology in Society"
), "MGT", "ENG")</f>
        <v>ENG</v>
      </c>
      <c r="K10" s="1" t="s">
        <v>222</v>
      </c>
      <c r="L10" s="1" t="s">
        <v>402</v>
      </c>
      <c r="M10" s="1" t="s">
        <v>401</v>
      </c>
      <c r="N10" s="1" t="s">
        <v>383</v>
      </c>
      <c r="O10" s="1" t="s">
        <v>393</v>
      </c>
      <c r="P10" s="1"/>
      <c r="Q10" s="1"/>
      <c r="R10" s="1" t="s">
        <v>386</v>
      </c>
      <c r="S10" s="6" t="s">
        <v>1780</v>
      </c>
      <c r="T10" s="6"/>
      <c r="U10" s="6"/>
      <c r="V10" s="6" t="s">
        <v>410</v>
      </c>
      <c r="W10" s="15" t="s">
        <v>446</v>
      </c>
      <c r="X10" s="6" t="s">
        <v>1781</v>
      </c>
      <c r="Y10" s="6" t="s">
        <v>405</v>
      </c>
      <c r="Z10" s="1">
        <v>4</v>
      </c>
      <c r="AA10" s="1">
        <v>3</v>
      </c>
      <c r="AB10" s="7" t="s">
        <v>566</v>
      </c>
      <c r="AC10" s="1" t="s">
        <v>590</v>
      </c>
      <c r="AD10" s="1" t="s">
        <v>574</v>
      </c>
      <c r="AE10" s="1" t="s">
        <v>225</v>
      </c>
      <c r="AF10" s="6"/>
      <c r="AG10" s="6" t="s">
        <v>599</v>
      </c>
      <c r="AH10" s="6" t="s">
        <v>600</v>
      </c>
      <c r="AI10" s="6"/>
      <c r="AJ10" s="20"/>
      <c r="AK10" s="23" cm="1">
        <f t="array" ref="AK10">_xlfn.IFS(AC10="Principles observation",1, AC10="Concept formulation",2, AC10="Proof-of-concept simulation", 3, AC10="Core function validation", 4, AC10="Integration component testing", 5, AC10="Component validation in relevant environment", 6, AC10="Subsystem demonstration in relevant environment", 7, AC10="System demonstration in operational environment", 8, AC10="Production qualification", 9, AC10="Mission-proven operations", 10)</f>
        <v>5</v>
      </c>
      <c r="AL10" s="23" cm="1">
        <f t="array" ref="AL10">_xlfn.IFS(AD10="Assistive GenAI", 1, AD10="GenAI-led with human oversight", 2, AD10="Autonomous process learning", 3)</f>
        <v>2</v>
      </c>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c r="BN10" s="20"/>
      <c r="BO10" s="20"/>
      <c r="BP10" s="20"/>
      <c r="BQ10" s="20"/>
      <c r="BR10" s="20"/>
      <c r="BS10" s="20"/>
      <c r="BT10" s="20"/>
      <c r="BU10" s="20"/>
      <c r="BV10" s="20"/>
      <c r="BW10" s="20"/>
      <c r="BX10" s="20"/>
      <c r="BY10" s="20"/>
      <c r="BZ10" s="20"/>
      <c r="CA10" s="20"/>
      <c r="CB10" s="20"/>
      <c r="CC10" s="20"/>
      <c r="CD10" s="20"/>
      <c r="CE10" s="20"/>
      <c r="CF10" s="20"/>
      <c r="CG10" s="20"/>
      <c r="CH10" s="20"/>
      <c r="CI10" s="20"/>
      <c r="CJ10" s="20"/>
      <c r="CK10" s="20"/>
      <c r="CL10" s="20"/>
      <c r="CM10" s="20"/>
      <c r="CN10" s="20"/>
      <c r="CO10" s="20"/>
      <c r="CP10" s="20"/>
      <c r="CQ10" s="20"/>
      <c r="CR10" s="20"/>
      <c r="CS10" s="20"/>
      <c r="CT10" s="20"/>
      <c r="CU10" s="20"/>
      <c r="CV10" s="20"/>
      <c r="CW10" s="20"/>
      <c r="CX10" s="20"/>
      <c r="CY10" s="20"/>
      <c r="CZ10" s="20"/>
      <c r="DA10" s="20"/>
      <c r="DB10" s="20"/>
      <c r="DC10" s="20"/>
      <c r="DD10" s="20"/>
      <c r="DE10" s="20"/>
      <c r="DF10" s="20"/>
      <c r="DG10" s="20"/>
      <c r="DH10" s="20"/>
      <c r="DI10" s="20"/>
      <c r="DJ10" s="20"/>
      <c r="DK10" s="20"/>
      <c r="DL10" s="20"/>
      <c r="DM10" s="20"/>
      <c r="DN10" s="20"/>
      <c r="DO10" s="20"/>
      <c r="DP10" s="20"/>
      <c r="DQ10" s="20"/>
      <c r="DR10" s="20"/>
      <c r="DS10" s="20"/>
      <c r="DT10" s="20"/>
      <c r="DU10" s="20"/>
      <c r="DV10" s="20"/>
      <c r="DW10" s="20"/>
      <c r="DX10" s="20"/>
      <c r="DY10" s="20"/>
      <c r="DZ10" s="20"/>
      <c r="EA10" s="20"/>
      <c r="EB10" s="20"/>
      <c r="EC10" s="20"/>
      <c r="ED10" s="20"/>
      <c r="EE10" s="20"/>
      <c r="EF10" s="20"/>
      <c r="EG10" s="20"/>
      <c r="EH10" s="20"/>
      <c r="EI10" s="20"/>
      <c r="EJ10" s="20"/>
      <c r="EK10" s="20"/>
      <c r="EL10" s="20"/>
      <c r="EM10" s="20"/>
      <c r="EN10" s="20"/>
      <c r="EO10" s="20"/>
      <c r="EP10" s="20"/>
      <c r="EQ10" s="20"/>
      <c r="ER10" s="20"/>
      <c r="ES10" s="20"/>
      <c r="ET10" s="20"/>
      <c r="EU10" s="20"/>
      <c r="EV10" s="20"/>
      <c r="EW10" s="20"/>
      <c r="EX10" s="20"/>
      <c r="EY10" s="20"/>
      <c r="EZ10" s="20"/>
      <c r="FA10" s="20"/>
      <c r="FB10" s="20"/>
      <c r="FC10" s="20"/>
      <c r="FD10" s="20"/>
      <c r="FE10" s="20"/>
      <c r="FF10" s="20"/>
      <c r="FG10" s="20"/>
      <c r="FH10" s="20"/>
      <c r="FI10" s="20"/>
      <c r="FJ10" s="20"/>
      <c r="FK10" s="20"/>
      <c r="FL10" s="20"/>
      <c r="FM10" s="20"/>
      <c r="FN10" s="20"/>
      <c r="FO10" s="20"/>
      <c r="FP10" s="20"/>
      <c r="FQ10" s="20"/>
      <c r="FR10" s="20"/>
      <c r="FS10" s="20"/>
      <c r="FT10" s="20"/>
      <c r="FU10" s="20"/>
      <c r="FV10" s="20"/>
      <c r="FW10" s="20"/>
      <c r="FX10" s="20"/>
      <c r="FY10" s="20"/>
      <c r="FZ10" s="20"/>
      <c r="GA10" s="20"/>
      <c r="GB10" s="20"/>
      <c r="GC10" s="20"/>
      <c r="GD10" s="20"/>
      <c r="GE10" s="20"/>
      <c r="GF10" s="20"/>
      <c r="GG10" s="20"/>
      <c r="GH10" s="20"/>
      <c r="GI10" s="20"/>
      <c r="GJ10" s="20"/>
      <c r="GK10" s="20"/>
      <c r="GL10" s="20"/>
      <c r="GM10" s="20"/>
      <c r="GN10" s="20"/>
      <c r="GO10" s="20"/>
      <c r="GP10" s="20"/>
      <c r="GQ10" s="20"/>
      <c r="GR10" s="20"/>
      <c r="GS10" s="20"/>
      <c r="GT10" s="20"/>
      <c r="GU10" s="20"/>
      <c r="GV10" s="20"/>
      <c r="GW10" s="20"/>
      <c r="GX10" s="20"/>
      <c r="GY10" s="20"/>
      <c r="GZ10" s="20"/>
      <c r="HA10" s="20"/>
      <c r="HB10" s="20"/>
      <c r="HC10" s="20"/>
      <c r="HD10" s="20"/>
      <c r="HE10" s="20"/>
      <c r="HF10" s="20"/>
      <c r="HG10" s="20"/>
      <c r="HH10" s="20"/>
      <c r="HI10" s="20"/>
      <c r="HJ10" s="20"/>
      <c r="HK10" s="20"/>
      <c r="HL10" s="20"/>
      <c r="HM10" s="20"/>
    </row>
    <row r="11" spans="1:221" s="11" customFormat="1" ht="55.95" customHeight="1" x14ac:dyDescent="0.3">
      <c r="A11" s="1">
        <v>11</v>
      </c>
      <c r="B11" s="6" t="s">
        <v>49</v>
      </c>
      <c r="C11" s="10" t="s">
        <v>258</v>
      </c>
      <c r="D11" s="7">
        <v>2024</v>
      </c>
      <c r="E11" s="13" t="s">
        <v>66</v>
      </c>
      <c r="F11" s="7">
        <v>10</v>
      </c>
      <c r="G11" s="1" t="str">
        <f t="shared" si="0"/>
        <v>Xu Q.</v>
      </c>
      <c r="H11" s="15" t="s">
        <v>337</v>
      </c>
      <c r="I11" s="15" t="s">
        <v>121</v>
      </c>
      <c r="J11" s="1" t="str">
        <f t="shared" si="1"/>
        <v>ENG</v>
      </c>
      <c r="K11" s="1" t="s">
        <v>222</v>
      </c>
      <c r="L11" s="1" t="s">
        <v>402</v>
      </c>
      <c r="M11" s="1" t="s">
        <v>401</v>
      </c>
      <c r="N11" s="1" t="s">
        <v>383</v>
      </c>
      <c r="O11" s="1" t="s">
        <v>411</v>
      </c>
      <c r="P11" s="1"/>
      <c r="Q11" s="1"/>
      <c r="R11" s="1" t="s">
        <v>403</v>
      </c>
      <c r="S11" s="6" t="s">
        <v>1782</v>
      </c>
      <c r="T11" s="6" t="s">
        <v>1783</v>
      </c>
      <c r="U11" s="6"/>
      <c r="V11" s="6" t="s">
        <v>1784</v>
      </c>
      <c r="W11" s="15" t="s">
        <v>445</v>
      </c>
      <c r="X11" s="6" t="s">
        <v>1785</v>
      </c>
      <c r="Y11" s="6" t="s">
        <v>412</v>
      </c>
      <c r="Z11" s="1">
        <v>4</v>
      </c>
      <c r="AA11" s="1">
        <v>3</v>
      </c>
      <c r="AB11" s="7" t="s">
        <v>566</v>
      </c>
      <c r="AC11" s="1" t="s">
        <v>590</v>
      </c>
      <c r="AD11" s="1" t="s">
        <v>574</v>
      </c>
      <c r="AE11" s="1" t="s">
        <v>225</v>
      </c>
      <c r="AF11" s="6"/>
      <c r="AG11" s="6" t="s">
        <v>603</v>
      </c>
      <c r="AH11" s="6" t="s">
        <v>604</v>
      </c>
      <c r="AI11" s="6"/>
      <c r="AJ11" s="20"/>
      <c r="AK11" s="23" cm="1">
        <f t="array" ref="AK11">_xlfn.IFS(AC11="Principles observation",1, AC11="Concept formulation",2, AC11="Proof-of-concept simulation", 3, AC11="Core function validation", 4, AC11="Integration component testing", 5, AC11="Component validation in relevant environment", 6, AC11="Subsystem demonstration in relevant environment", 7, AC11="System demonstration in operational environment", 8, AC11="Production qualification", 9, AC11="Mission-proven operations", 10)</f>
        <v>5</v>
      </c>
      <c r="AL11" s="23" cm="1">
        <f t="array" ref="AL11">_xlfn.IFS(AD11="Assistive GenAI", 1, AD11="GenAI-led with human oversight", 2, AD11="Autonomous process learning", 3)</f>
        <v>2</v>
      </c>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c r="BN11" s="20"/>
      <c r="BO11" s="20"/>
      <c r="BP11" s="20"/>
      <c r="BQ11" s="20"/>
      <c r="BR11" s="20"/>
      <c r="BS11" s="20"/>
      <c r="BT11" s="20"/>
      <c r="BU11" s="20"/>
      <c r="BV11" s="20"/>
      <c r="BW11" s="20"/>
      <c r="BX11" s="20"/>
      <c r="BY11" s="20"/>
      <c r="BZ11" s="20"/>
      <c r="CA11" s="20"/>
      <c r="CB11" s="20"/>
      <c r="CC11" s="20"/>
      <c r="CD11" s="20"/>
      <c r="CE11" s="20"/>
      <c r="CF11" s="20"/>
      <c r="CG11" s="20"/>
      <c r="CH11" s="20"/>
      <c r="CI11" s="20"/>
      <c r="CJ11" s="20"/>
      <c r="CK11" s="20"/>
      <c r="CL11" s="20"/>
      <c r="CM11" s="20"/>
      <c r="CN11" s="20"/>
      <c r="CO11" s="20"/>
      <c r="CP11" s="20"/>
      <c r="CQ11" s="20"/>
      <c r="CR11" s="20"/>
      <c r="CS11" s="20"/>
      <c r="CT11" s="20"/>
      <c r="CU11" s="20"/>
      <c r="CV11" s="20"/>
      <c r="CW11" s="20"/>
      <c r="CX11" s="20"/>
      <c r="CY11" s="20"/>
      <c r="CZ11" s="20"/>
      <c r="DA11" s="20"/>
      <c r="DB11" s="20"/>
      <c r="DC11" s="20"/>
      <c r="DD11" s="20"/>
      <c r="DE11" s="20"/>
      <c r="DF11" s="20"/>
      <c r="DG11" s="20"/>
      <c r="DH11" s="20"/>
      <c r="DI11" s="20"/>
      <c r="DJ11" s="20"/>
      <c r="DK11" s="20"/>
      <c r="DL11" s="20"/>
      <c r="DM11" s="20"/>
      <c r="DN11" s="20"/>
      <c r="DO11" s="20"/>
      <c r="DP11" s="20"/>
      <c r="DQ11" s="20"/>
      <c r="DR11" s="20"/>
      <c r="DS11" s="20"/>
      <c r="DT11" s="20"/>
      <c r="DU11" s="20"/>
      <c r="DV11" s="20"/>
      <c r="DW11" s="20"/>
      <c r="DX11" s="20"/>
      <c r="DY11" s="20"/>
      <c r="DZ11" s="20"/>
      <c r="EA11" s="20"/>
      <c r="EB11" s="20"/>
      <c r="EC11" s="20"/>
      <c r="ED11" s="20"/>
      <c r="EE11" s="20"/>
      <c r="EF11" s="20"/>
      <c r="EG11" s="20"/>
      <c r="EH11" s="20"/>
      <c r="EI11" s="20"/>
      <c r="EJ11" s="20"/>
      <c r="EK11" s="20"/>
      <c r="EL11" s="20"/>
      <c r="EM11" s="20"/>
      <c r="EN11" s="20"/>
      <c r="EO11" s="20"/>
      <c r="EP11" s="20"/>
      <c r="EQ11" s="20"/>
      <c r="ER11" s="20"/>
      <c r="ES11" s="20"/>
      <c r="ET11" s="20"/>
      <c r="EU11" s="20"/>
      <c r="EV11" s="20"/>
      <c r="EW11" s="20"/>
      <c r="EX11" s="20"/>
      <c r="EY11" s="20"/>
      <c r="EZ11" s="20"/>
      <c r="FA11" s="20"/>
      <c r="FB11" s="20"/>
      <c r="FC11" s="20"/>
      <c r="FD11" s="20"/>
      <c r="FE11" s="20"/>
      <c r="FF11" s="20"/>
      <c r="FG11" s="20"/>
      <c r="FH11" s="20"/>
      <c r="FI11" s="20"/>
      <c r="FJ11" s="20"/>
      <c r="FK11" s="20"/>
      <c r="FL11" s="20"/>
      <c r="FM11" s="20"/>
      <c r="FN11" s="20"/>
      <c r="FO11" s="20"/>
      <c r="FP11" s="20"/>
      <c r="FQ11" s="20"/>
      <c r="FR11" s="20"/>
      <c r="FS11" s="20"/>
      <c r="FT11" s="20"/>
      <c r="FU11" s="20"/>
      <c r="FV11" s="20"/>
      <c r="FW11" s="20"/>
      <c r="FX11" s="20"/>
      <c r="FY11" s="20"/>
      <c r="FZ11" s="20"/>
      <c r="GA11" s="20"/>
      <c r="GB11" s="20"/>
      <c r="GC11" s="20"/>
      <c r="GD11" s="20"/>
      <c r="GE11" s="20"/>
      <c r="GF11" s="20"/>
      <c r="GG11" s="20"/>
      <c r="GH11" s="20"/>
      <c r="GI11" s="20"/>
      <c r="GJ11" s="20"/>
      <c r="GK11" s="20"/>
      <c r="GL11" s="20"/>
      <c r="GM11" s="20"/>
      <c r="GN11" s="20"/>
      <c r="GO11" s="20"/>
      <c r="GP11" s="20"/>
      <c r="GQ11" s="20"/>
      <c r="GR11" s="20"/>
      <c r="GS11" s="20"/>
      <c r="GT11" s="20"/>
      <c r="GU11" s="20"/>
      <c r="GV11" s="20"/>
      <c r="GW11" s="20"/>
      <c r="GX11" s="20"/>
      <c r="GY11" s="20"/>
      <c r="GZ11" s="20"/>
      <c r="HA11" s="20"/>
      <c r="HB11" s="20"/>
      <c r="HC11" s="20"/>
      <c r="HD11" s="20"/>
      <c r="HE11" s="20"/>
      <c r="HF11" s="20"/>
      <c r="HG11" s="20"/>
      <c r="HH11" s="20"/>
      <c r="HI11" s="20"/>
      <c r="HJ11" s="20"/>
      <c r="HK11" s="20"/>
      <c r="HL11" s="20"/>
      <c r="HM11" s="20"/>
    </row>
    <row r="12" spans="1:221" s="11" customFormat="1" ht="55.95" customHeight="1" x14ac:dyDescent="0.3">
      <c r="A12" s="1">
        <v>12</v>
      </c>
      <c r="B12" s="6" t="s">
        <v>39</v>
      </c>
      <c r="C12" s="10" t="s">
        <v>271</v>
      </c>
      <c r="D12" s="7">
        <v>2024</v>
      </c>
      <c r="E12" s="13" t="s">
        <v>67</v>
      </c>
      <c r="F12" s="7">
        <v>10</v>
      </c>
      <c r="G12" s="1" t="str">
        <f t="shared" si="0"/>
        <v>Colabianchi S.</v>
      </c>
      <c r="H12" s="15" t="s">
        <v>196</v>
      </c>
      <c r="I12" s="15" t="s">
        <v>111</v>
      </c>
      <c r="J12" s="1" t="str">
        <f t="shared" si="1"/>
        <v>ENG</v>
      </c>
      <c r="K12" s="1" t="s">
        <v>222</v>
      </c>
      <c r="L12" s="1" t="s">
        <v>413</v>
      </c>
      <c r="M12" s="1" t="s">
        <v>414</v>
      </c>
      <c r="N12" s="1" t="s">
        <v>383</v>
      </c>
      <c r="O12" s="1" t="s">
        <v>226</v>
      </c>
      <c r="P12" s="1"/>
      <c r="Q12" s="1"/>
      <c r="R12" s="1" t="s">
        <v>386</v>
      </c>
      <c r="S12" s="6" t="s">
        <v>1786</v>
      </c>
      <c r="T12" s="6" t="s">
        <v>1787</v>
      </c>
      <c r="U12" s="6"/>
      <c r="V12" s="6"/>
      <c r="W12" s="15"/>
      <c r="X12" s="6" t="s">
        <v>1788</v>
      </c>
      <c r="Y12" s="6" t="s">
        <v>415</v>
      </c>
      <c r="Z12" s="1">
        <v>5</v>
      </c>
      <c r="AA12" s="1">
        <v>5</v>
      </c>
      <c r="AB12" s="7" t="s">
        <v>566</v>
      </c>
      <c r="AC12" s="1" t="s">
        <v>578</v>
      </c>
      <c r="AD12" s="1" t="s">
        <v>573</v>
      </c>
      <c r="AE12" s="1" t="s">
        <v>225</v>
      </c>
      <c r="AF12" s="6"/>
      <c r="AG12" s="6" t="s">
        <v>605</v>
      </c>
      <c r="AH12" s="6" t="s">
        <v>606</v>
      </c>
      <c r="AI12" s="6"/>
      <c r="AJ12" s="20"/>
      <c r="AK12" s="23" cm="1">
        <f t="array" ref="AK12">_xlfn.IFS(AC12="Principles observation",1, AC12="Concept formulation",2, AC12="Proof-of-concept simulation", 3, AC12="Core function validation", 4, AC12="Integration component testing", 5, AC12="Component validation in relevant environment", 6, AC12="Subsystem demonstration in relevant environment", 7, AC12="System demonstration in operational environment", 8, AC12="Production qualification", 9, AC12="Mission-proven operations", 10)</f>
        <v>4</v>
      </c>
      <c r="AL12" s="23" cm="1">
        <f t="array" ref="AL12">_xlfn.IFS(AD12="Assistive GenAI", 1, AD12="GenAI-led with human oversight", 2, AD12="Autonomous process learning", 3)</f>
        <v>1</v>
      </c>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c r="BN12" s="20"/>
      <c r="BO12" s="20"/>
      <c r="BP12" s="20"/>
      <c r="BQ12" s="20"/>
      <c r="BR12" s="20"/>
      <c r="BS12" s="20"/>
      <c r="BT12" s="20"/>
      <c r="BU12" s="20"/>
      <c r="BV12" s="20"/>
      <c r="BW12" s="20"/>
      <c r="BX12" s="20"/>
      <c r="BY12" s="20"/>
      <c r="BZ12" s="20"/>
      <c r="CA12" s="20"/>
      <c r="CB12" s="20"/>
      <c r="CC12" s="20"/>
      <c r="CD12" s="20"/>
      <c r="CE12" s="20"/>
      <c r="CF12" s="20"/>
      <c r="CG12" s="20"/>
      <c r="CH12" s="20"/>
      <c r="CI12" s="20"/>
      <c r="CJ12" s="20"/>
      <c r="CK12" s="20"/>
      <c r="CL12" s="20"/>
      <c r="CM12" s="20"/>
      <c r="CN12" s="20"/>
      <c r="CO12" s="20"/>
      <c r="CP12" s="20"/>
      <c r="CQ12" s="20"/>
      <c r="CR12" s="20"/>
      <c r="CS12" s="20"/>
      <c r="CT12" s="20"/>
      <c r="CU12" s="20"/>
      <c r="CV12" s="20"/>
      <c r="CW12" s="20"/>
      <c r="CX12" s="20"/>
      <c r="CY12" s="20"/>
      <c r="CZ12" s="20"/>
      <c r="DA12" s="20"/>
      <c r="DB12" s="20"/>
      <c r="DC12" s="20"/>
      <c r="DD12" s="20"/>
      <c r="DE12" s="20"/>
      <c r="DF12" s="20"/>
      <c r="DG12" s="20"/>
      <c r="DH12" s="20"/>
      <c r="DI12" s="20"/>
      <c r="DJ12" s="20"/>
      <c r="DK12" s="20"/>
      <c r="DL12" s="20"/>
      <c r="DM12" s="20"/>
      <c r="DN12" s="20"/>
      <c r="DO12" s="20"/>
      <c r="DP12" s="20"/>
      <c r="DQ12" s="20"/>
      <c r="DR12" s="20"/>
      <c r="DS12" s="20"/>
      <c r="DT12" s="20"/>
      <c r="DU12" s="20"/>
      <c r="DV12" s="20"/>
      <c r="DW12" s="20"/>
      <c r="DX12" s="20"/>
      <c r="DY12" s="20"/>
      <c r="DZ12" s="20"/>
      <c r="EA12" s="20"/>
      <c r="EB12" s="20"/>
      <c r="EC12" s="20"/>
      <c r="ED12" s="20"/>
      <c r="EE12" s="20"/>
      <c r="EF12" s="20"/>
      <c r="EG12" s="20"/>
      <c r="EH12" s="20"/>
      <c r="EI12" s="20"/>
      <c r="EJ12" s="20"/>
      <c r="EK12" s="20"/>
      <c r="EL12" s="20"/>
      <c r="EM12" s="20"/>
      <c r="EN12" s="20"/>
      <c r="EO12" s="20"/>
      <c r="EP12" s="20"/>
      <c r="EQ12" s="20"/>
      <c r="ER12" s="20"/>
      <c r="ES12" s="20"/>
      <c r="ET12" s="20"/>
      <c r="EU12" s="20"/>
      <c r="EV12" s="20"/>
      <c r="EW12" s="20"/>
      <c r="EX12" s="20"/>
      <c r="EY12" s="20"/>
      <c r="EZ12" s="20"/>
      <c r="FA12" s="20"/>
      <c r="FB12" s="20"/>
      <c r="FC12" s="20"/>
      <c r="FD12" s="20"/>
      <c r="FE12" s="20"/>
      <c r="FF12" s="20"/>
      <c r="FG12" s="20"/>
      <c r="FH12" s="20"/>
      <c r="FI12" s="20"/>
      <c r="FJ12" s="20"/>
      <c r="FK12" s="20"/>
      <c r="FL12" s="20"/>
      <c r="FM12" s="20"/>
      <c r="FN12" s="20"/>
      <c r="FO12" s="20"/>
      <c r="FP12" s="20"/>
      <c r="FQ12" s="20"/>
      <c r="FR12" s="20"/>
      <c r="FS12" s="20"/>
      <c r="FT12" s="20"/>
      <c r="FU12" s="20"/>
      <c r="FV12" s="20"/>
      <c r="FW12" s="20"/>
      <c r="FX12" s="20"/>
      <c r="FY12" s="20"/>
      <c r="FZ12" s="20"/>
      <c r="GA12" s="20"/>
      <c r="GB12" s="20"/>
      <c r="GC12" s="20"/>
      <c r="GD12" s="20"/>
      <c r="GE12" s="20"/>
      <c r="GF12" s="20"/>
      <c r="GG12" s="20"/>
      <c r="GH12" s="20"/>
      <c r="GI12" s="20"/>
      <c r="GJ12" s="20"/>
      <c r="GK12" s="20"/>
      <c r="GL12" s="20"/>
      <c r="GM12" s="20"/>
      <c r="GN12" s="20"/>
      <c r="GO12" s="20"/>
      <c r="GP12" s="20"/>
      <c r="GQ12" s="20"/>
      <c r="GR12" s="20"/>
      <c r="GS12" s="20"/>
      <c r="GT12" s="20"/>
      <c r="GU12" s="20"/>
      <c r="GV12" s="20"/>
      <c r="GW12" s="20"/>
      <c r="GX12" s="20"/>
      <c r="GY12" s="20"/>
      <c r="GZ12" s="20"/>
      <c r="HA12" s="20"/>
      <c r="HB12" s="20"/>
      <c r="HC12" s="20"/>
      <c r="HD12" s="20"/>
      <c r="HE12" s="20"/>
      <c r="HF12" s="20"/>
      <c r="HG12" s="20"/>
      <c r="HH12" s="20"/>
      <c r="HI12" s="20"/>
      <c r="HJ12" s="20"/>
      <c r="HK12" s="20"/>
      <c r="HL12" s="20"/>
      <c r="HM12" s="20"/>
    </row>
    <row r="13" spans="1:221" s="11" customFormat="1" ht="55.95" customHeight="1" x14ac:dyDescent="0.3">
      <c r="A13" s="1">
        <v>13</v>
      </c>
      <c r="B13" s="6" t="s">
        <v>37</v>
      </c>
      <c r="C13" s="10" t="s">
        <v>268</v>
      </c>
      <c r="D13" s="7">
        <v>2024</v>
      </c>
      <c r="E13" s="13" t="s">
        <v>66</v>
      </c>
      <c r="F13" s="7">
        <v>9</v>
      </c>
      <c r="G13" s="1" t="str">
        <f t="shared" si="0"/>
        <v>Shahin M.</v>
      </c>
      <c r="H13" s="15" t="s">
        <v>195</v>
      </c>
      <c r="I13" s="15" t="s">
        <v>109</v>
      </c>
      <c r="J13" s="1" t="str">
        <f t="shared" si="1"/>
        <v>ENG</v>
      </c>
      <c r="K13" s="1" t="s">
        <v>222</v>
      </c>
      <c r="L13" s="1" t="s">
        <v>402</v>
      </c>
      <c r="M13" s="1" t="s">
        <v>401</v>
      </c>
      <c r="N13" s="1" t="s">
        <v>471</v>
      </c>
      <c r="O13" s="1" t="s">
        <v>416</v>
      </c>
      <c r="P13" s="1"/>
      <c r="Q13" s="1" t="s">
        <v>417</v>
      </c>
      <c r="R13" s="1" t="s">
        <v>386</v>
      </c>
      <c r="S13" s="6" t="s">
        <v>1789</v>
      </c>
      <c r="T13" s="6" t="s">
        <v>1790</v>
      </c>
      <c r="U13" s="6"/>
      <c r="V13" s="6" t="s">
        <v>1791</v>
      </c>
      <c r="W13" s="15"/>
      <c r="X13" s="6" t="s">
        <v>1792</v>
      </c>
      <c r="Y13" s="6" t="s">
        <v>418</v>
      </c>
      <c r="Z13" s="1">
        <v>4</v>
      </c>
      <c r="AA13" s="1">
        <v>3</v>
      </c>
      <c r="AB13" s="7" t="s">
        <v>566</v>
      </c>
      <c r="AC13" s="1" t="s">
        <v>578</v>
      </c>
      <c r="AD13" s="1" t="s">
        <v>573</v>
      </c>
      <c r="AE13" s="7" t="s">
        <v>225</v>
      </c>
      <c r="AF13" s="6"/>
      <c r="AG13" s="6" t="s">
        <v>607</v>
      </c>
      <c r="AH13" s="6" t="s">
        <v>608</v>
      </c>
      <c r="AI13" s="6"/>
      <c r="AJ13" s="20"/>
      <c r="AK13" s="23" cm="1">
        <f t="array" ref="AK13">_xlfn.IFS(AC13="Principles observation",1, AC13="Concept formulation",2, AC13="Proof-of-concept simulation", 3, AC13="Core function validation", 4, AC13="Integration component testing", 5, AC13="Component validation in relevant environment", 6, AC13="Subsystem demonstration in relevant environment", 7, AC13="System demonstration in operational environment", 8, AC13="Production qualification", 9, AC13="Mission-proven operations", 10)</f>
        <v>4</v>
      </c>
      <c r="AL13" s="23" cm="1">
        <f t="array" ref="AL13">_xlfn.IFS(AD13="Assistive GenAI", 1, AD13="GenAI-led with human oversight", 2, AD13="Autonomous process learning", 3)</f>
        <v>1</v>
      </c>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c r="BN13" s="20"/>
      <c r="BO13" s="20"/>
      <c r="BP13" s="20"/>
      <c r="BQ13" s="20"/>
      <c r="BR13" s="20"/>
      <c r="BS13" s="20"/>
      <c r="BT13" s="20"/>
      <c r="BU13" s="20"/>
      <c r="BV13" s="20"/>
      <c r="BW13" s="20"/>
      <c r="BX13" s="20"/>
      <c r="BY13" s="20"/>
      <c r="BZ13" s="20"/>
      <c r="CA13" s="20"/>
      <c r="CB13" s="20"/>
      <c r="CC13" s="20"/>
      <c r="CD13" s="20"/>
      <c r="CE13" s="20"/>
      <c r="CF13" s="20"/>
      <c r="CG13" s="20"/>
      <c r="CH13" s="20"/>
      <c r="CI13" s="20"/>
      <c r="CJ13" s="20"/>
      <c r="CK13" s="20"/>
      <c r="CL13" s="20"/>
      <c r="CM13" s="20"/>
      <c r="CN13" s="20"/>
      <c r="CO13" s="20"/>
      <c r="CP13" s="20"/>
      <c r="CQ13" s="20"/>
      <c r="CR13" s="20"/>
      <c r="CS13" s="20"/>
      <c r="CT13" s="20"/>
      <c r="CU13" s="20"/>
      <c r="CV13" s="20"/>
      <c r="CW13" s="20"/>
      <c r="CX13" s="20"/>
      <c r="CY13" s="20"/>
      <c r="CZ13" s="20"/>
      <c r="DA13" s="20"/>
      <c r="DB13" s="20"/>
      <c r="DC13" s="20"/>
      <c r="DD13" s="20"/>
      <c r="DE13" s="20"/>
      <c r="DF13" s="20"/>
      <c r="DG13" s="20"/>
      <c r="DH13" s="20"/>
      <c r="DI13" s="20"/>
      <c r="DJ13" s="20"/>
      <c r="DK13" s="20"/>
      <c r="DL13" s="20"/>
      <c r="DM13" s="20"/>
      <c r="DN13" s="20"/>
      <c r="DO13" s="20"/>
      <c r="DP13" s="20"/>
      <c r="DQ13" s="20"/>
      <c r="DR13" s="20"/>
      <c r="DS13" s="20"/>
      <c r="DT13" s="20"/>
      <c r="DU13" s="20"/>
      <c r="DV13" s="20"/>
      <c r="DW13" s="20"/>
      <c r="DX13" s="20"/>
      <c r="DY13" s="20"/>
      <c r="DZ13" s="20"/>
      <c r="EA13" s="20"/>
      <c r="EB13" s="20"/>
      <c r="EC13" s="20"/>
      <c r="ED13" s="20"/>
      <c r="EE13" s="20"/>
      <c r="EF13" s="20"/>
      <c r="EG13" s="20"/>
      <c r="EH13" s="20"/>
      <c r="EI13" s="20"/>
      <c r="EJ13" s="20"/>
      <c r="EK13" s="20"/>
      <c r="EL13" s="20"/>
      <c r="EM13" s="20"/>
      <c r="EN13" s="20"/>
      <c r="EO13" s="20"/>
      <c r="EP13" s="20"/>
      <c r="EQ13" s="20"/>
      <c r="ER13" s="20"/>
      <c r="ES13" s="20"/>
      <c r="ET13" s="20"/>
      <c r="EU13" s="20"/>
      <c r="EV13" s="20"/>
      <c r="EW13" s="20"/>
      <c r="EX13" s="20"/>
      <c r="EY13" s="20"/>
      <c r="EZ13" s="20"/>
      <c r="FA13" s="20"/>
      <c r="FB13" s="20"/>
      <c r="FC13" s="20"/>
      <c r="FD13" s="20"/>
      <c r="FE13" s="20"/>
      <c r="FF13" s="20"/>
      <c r="FG13" s="20"/>
      <c r="FH13" s="20"/>
      <c r="FI13" s="20"/>
      <c r="FJ13" s="20"/>
      <c r="FK13" s="20"/>
      <c r="FL13" s="20"/>
      <c r="FM13" s="20"/>
      <c r="FN13" s="20"/>
      <c r="FO13" s="20"/>
      <c r="FP13" s="20"/>
      <c r="FQ13" s="20"/>
      <c r="FR13" s="20"/>
      <c r="FS13" s="20"/>
      <c r="FT13" s="20"/>
      <c r="FU13" s="20"/>
      <c r="FV13" s="20"/>
      <c r="FW13" s="20"/>
      <c r="FX13" s="20"/>
      <c r="FY13" s="20"/>
      <c r="FZ13" s="20"/>
      <c r="GA13" s="20"/>
      <c r="GB13" s="20"/>
      <c r="GC13" s="20"/>
      <c r="GD13" s="20"/>
      <c r="GE13" s="20"/>
      <c r="GF13" s="20"/>
      <c r="GG13" s="20"/>
      <c r="GH13" s="20"/>
      <c r="GI13" s="20"/>
      <c r="GJ13" s="20"/>
      <c r="GK13" s="20"/>
      <c r="GL13" s="20"/>
      <c r="GM13" s="20"/>
      <c r="GN13" s="20"/>
      <c r="GO13" s="20"/>
      <c r="GP13" s="20"/>
      <c r="GQ13" s="20"/>
      <c r="GR13" s="20"/>
      <c r="GS13" s="20"/>
      <c r="GT13" s="20"/>
      <c r="GU13" s="20"/>
      <c r="GV13" s="20"/>
      <c r="GW13" s="20"/>
      <c r="GX13" s="20"/>
      <c r="GY13" s="20"/>
      <c r="GZ13" s="20"/>
      <c r="HA13" s="20"/>
      <c r="HB13" s="20"/>
      <c r="HC13" s="20"/>
      <c r="HD13" s="20"/>
      <c r="HE13" s="20"/>
      <c r="HF13" s="20"/>
      <c r="HG13" s="20"/>
      <c r="HH13" s="20"/>
      <c r="HI13" s="20"/>
      <c r="HJ13" s="20"/>
      <c r="HK13" s="20"/>
      <c r="HL13" s="20"/>
      <c r="HM13" s="20"/>
    </row>
    <row r="14" spans="1:221" s="11" customFormat="1" ht="55.95" customHeight="1" x14ac:dyDescent="0.3">
      <c r="A14" s="1">
        <v>14</v>
      </c>
      <c r="B14" s="6" t="s">
        <v>9</v>
      </c>
      <c r="C14" s="10" t="s">
        <v>284</v>
      </c>
      <c r="D14" s="7">
        <v>2024</v>
      </c>
      <c r="E14" s="13" t="s">
        <v>57</v>
      </c>
      <c r="F14" s="7">
        <v>8</v>
      </c>
      <c r="G14" s="1" t="str">
        <f t="shared" si="0"/>
        <v>Wang P.</v>
      </c>
      <c r="H14" s="15" t="s">
        <v>178</v>
      </c>
      <c r="I14" s="15" t="s">
        <v>79</v>
      </c>
      <c r="J14" s="1" t="str">
        <f t="shared" si="1"/>
        <v>ENG</v>
      </c>
      <c r="K14" s="1" t="s">
        <v>222</v>
      </c>
      <c r="L14" s="1" t="s">
        <v>402</v>
      </c>
      <c r="M14" s="1" t="s">
        <v>401</v>
      </c>
      <c r="N14" s="1" t="s">
        <v>471</v>
      </c>
      <c r="O14" s="1" t="s">
        <v>419</v>
      </c>
      <c r="P14" s="1" t="s">
        <v>389</v>
      </c>
      <c r="Q14" s="1"/>
      <c r="R14" s="1" t="s">
        <v>386</v>
      </c>
      <c r="S14" s="6" t="s">
        <v>1793</v>
      </c>
      <c r="T14" s="6" t="s">
        <v>1794</v>
      </c>
      <c r="U14" s="6" t="s">
        <v>1795</v>
      </c>
      <c r="V14" s="6" t="s">
        <v>1796</v>
      </c>
      <c r="W14" s="15"/>
      <c r="X14" s="6" t="s">
        <v>1797</v>
      </c>
      <c r="Y14" s="6" t="s">
        <v>420</v>
      </c>
      <c r="Z14" s="1">
        <v>4</v>
      </c>
      <c r="AA14" s="1">
        <v>3</v>
      </c>
      <c r="AB14" s="7" t="s">
        <v>566</v>
      </c>
      <c r="AC14" s="1" t="s">
        <v>578</v>
      </c>
      <c r="AD14" s="1" t="s">
        <v>573</v>
      </c>
      <c r="AE14" s="7" t="s">
        <v>225</v>
      </c>
      <c r="AF14" s="6"/>
      <c r="AG14" s="6" t="s">
        <v>739</v>
      </c>
      <c r="AH14" s="6" t="s">
        <v>740</v>
      </c>
      <c r="AI14" s="6" t="s">
        <v>613</v>
      </c>
      <c r="AJ14" s="20"/>
      <c r="AK14" s="23" cm="1">
        <f t="array" ref="AK14">_xlfn.IFS(AC14="Principles observation",1, AC14="Concept formulation",2, AC14="Proof-of-concept simulation", 3, AC14="Core function validation", 4, AC14="Integration component testing", 5, AC14="Component validation in relevant environment", 6, AC14="Subsystem demonstration in relevant environment", 7, AC14="System demonstration in operational environment", 8, AC14="Production qualification", 9, AC14="Mission-proven operations", 10)</f>
        <v>4</v>
      </c>
      <c r="AL14" s="23" cm="1">
        <f t="array" ref="AL14">_xlfn.IFS(AD14="Assistive GenAI", 1, AD14="GenAI-led with human oversight", 2, AD14="Autonomous process learning", 3)</f>
        <v>1</v>
      </c>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c r="BN14" s="20"/>
      <c r="BO14" s="20"/>
      <c r="BP14" s="20"/>
      <c r="BQ14" s="20"/>
      <c r="BR14" s="20"/>
      <c r="BS14" s="20"/>
      <c r="BT14" s="20"/>
      <c r="BU14" s="20"/>
      <c r="BV14" s="20"/>
      <c r="BW14" s="20"/>
      <c r="BX14" s="20"/>
      <c r="BY14" s="20"/>
      <c r="BZ14" s="20"/>
      <c r="CA14" s="20"/>
      <c r="CB14" s="20"/>
      <c r="CC14" s="20"/>
      <c r="CD14" s="20"/>
      <c r="CE14" s="20"/>
      <c r="CF14" s="20"/>
      <c r="CG14" s="20"/>
      <c r="CH14" s="20"/>
      <c r="CI14" s="20"/>
      <c r="CJ14" s="20"/>
      <c r="CK14" s="20"/>
      <c r="CL14" s="20"/>
      <c r="CM14" s="20"/>
      <c r="CN14" s="20"/>
      <c r="CO14" s="20"/>
      <c r="CP14" s="20"/>
      <c r="CQ14" s="20"/>
      <c r="CR14" s="20"/>
      <c r="CS14" s="20"/>
      <c r="CT14" s="20"/>
      <c r="CU14" s="20"/>
      <c r="CV14" s="20"/>
      <c r="CW14" s="20"/>
      <c r="CX14" s="20"/>
      <c r="CY14" s="20"/>
      <c r="CZ14" s="20"/>
      <c r="DA14" s="20"/>
      <c r="DB14" s="20"/>
      <c r="DC14" s="20"/>
      <c r="DD14" s="20"/>
      <c r="DE14" s="20"/>
      <c r="DF14" s="20"/>
      <c r="DG14" s="20"/>
      <c r="DH14" s="20"/>
      <c r="DI14" s="20"/>
      <c r="DJ14" s="20"/>
      <c r="DK14" s="20"/>
      <c r="DL14" s="20"/>
      <c r="DM14" s="20"/>
      <c r="DN14" s="20"/>
      <c r="DO14" s="20"/>
      <c r="DP14" s="20"/>
      <c r="DQ14" s="20"/>
      <c r="DR14" s="20"/>
      <c r="DS14" s="20"/>
      <c r="DT14" s="20"/>
      <c r="DU14" s="20"/>
      <c r="DV14" s="20"/>
      <c r="DW14" s="20"/>
      <c r="DX14" s="20"/>
      <c r="DY14" s="20"/>
      <c r="DZ14" s="20"/>
      <c r="EA14" s="20"/>
      <c r="EB14" s="20"/>
      <c r="EC14" s="20"/>
      <c r="ED14" s="20"/>
      <c r="EE14" s="20"/>
      <c r="EF14" s="20"/>
      <c r="EG14" s="20"/>
      <c r="EH14" s="20"/>
      <c r="EI14" s="20"/>
      <c r="EJ14" s="20"/>
      <c r="EK14" s="20"/>
      <c r="EL14" s="20"/>
      <c r="EM14" s="20"/>
      <c r="EN14" s="20"/>
      <c r="EO14" s="20"/>
      <c r="EP14" s="20"/>
      <c r="EQ14" s="20"/>
      <c r="ER14" s="20"/>
      <c r="ES14" s="20"/>
      <c r="ET14" s="20"/>
      <c r="EU14" s="20"/>
      <c r="EV14" s="20"/>
      <c r="EW14" s="20"/>
      <c r="EX14" s="20"/>
      <c r="EY14" s="20"/>
      <c r="EZ14" s="20"/>
      <c r="FA14" s="20"/>
      <c r="FB14" s="20"/>
      <c r="FC14" s="20"/>
      <c r="FD14" s="20"/>
      <c r="FE14" s="20"/>
      <c r="FF14" s="20"/>
      <c r="FG14" s="20"/>
      <c r="FH14" s="20"/>
      <c r="FI14" s="20"/>
      <c r="FJ14" s="20"/>
      <c r="FK14" s="20"/>
      <c r="FL14" s="20"/>
      <c r="FM14" s="20"/>
      <c r="FN14" s="20"/>
      <c r="FO14" s="20"/>
      <c r="FP14" s="20"/>
      <c r="FQ14" s="20"/>
      <c r="FR14" s="20"/>
      <c r="FS14" s="20"/>
      <c r="FT14" s="20"/>
      <c r="FU14" s="20"/>
      <c r="FV14" s="20"/>
      <c r="FW14" s="20"/>
      <c r="FX14" s="20"/>
      <c r="FY14" s="20"/>
      <c r="FZ14" s="20"/>
      <c r="GA14" s="20"/>
      <c r="GB14" s="20"/>
      <c r="GC14" s="20"/>
      <c r="GD14" s="20"/>
      <c r="GE14" s="20"/>
      <c r="GF14" s="20"/>
      <c r="GG14" s="20"/>
      <c r="GH14" s="20"/>
      <c r="GI14" s="20"/>
      <c r="GJ14" s="20"/>
      <c r="GK14" s="20"/>
      <c r="GL14" s="20"/>
      <c r="GM14" s="20"/>
      <c r="GN14" s="20"/>
      <c r="GO14" s="20"/>
      <c r="GP14" s="20"/>
      <c r="GQ14" s="20"/>
      <c r="GR14" s="20"/>
      <c r="GS14" s="20"/>
      <c r="GT14" s="20"/>
      <c r="GU14" s="20"/>
      <c r="GV14" s="20"/>
      <c r="GW14" s="20"/>
      <c r="GX14" s="20"/>
      <c r="GY14" s="20"/>
      <c r="GZ14" s="20"/>
      <c r="HA14" s="20"/>
      <c r="HB14" s="20"/>
      <c r="HC14" s="20"/>
      <c r="HD14" s="20"/>
      <c r="HE14" s="20"/>
      <c r="HF14" s="20"/>
      <c r="HG14" s="20"/>
      <c r="HH14" s="20"/>
      <c r="HI14" s="20"/>
      <c r="HJ14" s="20"/>
      <c r="HK14" s="20"/>
      <c r="HL14" s="20"/>
      <c r="HM14" s="20"/>
    </row>
    <row r="15" spans="1:221" s="11" customFormat="1" ht="55.95" customHeight="1" x14ac:dyDescent="0.3">
      <c r="A15" s="1">
        <v>15</v>
      </c>
      <c r="B15" s="6" t="s">
        <v>233</v>
      </c>
      <c r="C15" s="10" t="s">
        <v>267</v>
      </c>
      <c r="D15" s="7">
        <v>2024</v>
      </c>
      <c r="E15" s="13" t="s">
        <v>73</v>
      </c>
      <c r="F15" s="7">
        <v>7</v>
      </c>
      <c r="G15" s="1" t="str">
        <f t="shared" si="0"/>
        <v>Fu T.</v>
      </c>
      <c r="H15" s="15" t="s">
        <v>341</v>
      </c>
      <c r="I15" s="15" t="s">
        <v>360</v>
      </c>
      <c r="J15" s="1" t="str">
        <f t="shared" si="1"/>
        <v>ENG</v>
      </c>
      <c r="K15" s="1" t="s">
        <v>222</v>
      </c>
      <c r="L15" s="1" t="s">
        <v>402</v>
      </c>
      <c r="M15" s="1" t="s">
        <v>401</v>
      </c>
      <c r="N15" s="1" t="s">
        <v>383</v>
      </c>
      <c r="O15" s="1" t="s">
        <v>426</v>
      </c>
      <c r="P15" s="1" t="s">
        <v>421</v>
      </c>
      <c r="Q15" s="1"/>
      <c r="R15" s="1" t="s">
        <v>427</v>
      </c>
      <c r="S15" s="6" t="s">
        <v>1798</v>
      </c>
      <c r="T15" s="6" t="s">
        <v>1799</v>
      </c>
      <c r="U15" s="6" t="s">
        <v>1800</v>
      </c>
      <c r="V15" s="6" t="s">
        <v>1801</v>
      </c>
      <c r="W15" s="15"/>
      <c r="X15" s="6" t="s">
        <v>1802</v>
      </c>
      <c r="Y15" s="6" t="s">
        <v>428</v>
      </c>
      <c r="Z15" s="1">
        <v>4</v>
      </c>
      <c r="AA15" s="1">
        <v>3</v>
      </c>
      <c r="AB15" s="1" t="s">
        <v>610</v>
      </c>
      <c r="AC15" s="1" t="s">
        <v>611</v>
      </c>
      <c r="AD15" s="1" t="s">
        <v>573</v>
      </c>
      <c r="AE15" s="7" t="s">
        <v>218</v>
      </c>
      <c r="AF15" s="6" t="s">
        <v>743</v>
      </c>
      <c r="AG15" s="6" t="s">
        <v>741</v>
      </c>
      <c r="AH15" s="6" t="s">
        <v>742</v>
      </c>
      <c r="AI15" s="6" t="s">
        <v>614</v>
      </c>
      <c r="AJ15" s="20"/>
      <c r="AK15" s="23" cm="1">
        <f t="array" ref="AK15">_xlfn.IFS(AC15="Principles observation",1, AC15="Concept formulation",2, AC15="Proof-of-concept simulation", 3, AC15="Core function validation", 4, AC15="Integration component testing", 5, AC15="Component validation in relevant environment", 6, AC15="Subsystem demonstration in relevant environment", 7, AC15="System demonstration in operational environment", 8, AC15="Production qualification", 9, AC15="Mission-proven operations", 10)</f>
        <v>8</v>
      </c>
      <c r="AL15" s="23" cm="1">
        <f t="array" ref="AL15">_xlfn.IFS(AD15="Assistive GenAI", 1, AD15="GenAI-led with human oversight", 2, AD15="Autonomous process learning", 3)</f>
        <v>1</v>
      </c>
      <c r="AM15" s="20"/>
      <c r="AN15" s="20"/>
      <c r="AO15" s="20"/>
      <c r="AP15" s="20"/>
      <c r="AQ15" s="20"/>
      <c r="AR15" s="20"/>
      <c r="AS15" s="20"/>
      <c r="AT15" s="20"/>
      <c r="AU15" s="20"/>
      <c r="AV15" s="20"/>
      <c r="AW15" s="20"/>
      <c r="AX15" s="20"/>
      <c r="AY15" s="20"/>
      <c r="AZ15" s="20"/>
      <c r="BA15" s="20"/>
      <c r="BB15" s="20"/>
      <c r="BC15" s="20"/>
      <c r="BD15" s="20"/>
      <c r="BE15" s="20"/>
      <c r="BF15" s="20"/>
      <c r="BG15" s="20"/>
      <c r="BH15" s="20"/>
      <c r="BI15" s="20"/>
      <c r="BJ15" s="20"/>
      <c r="BK15" s="20"/>
      <c r="BL15" s="20"/>
      <c r="BM15" s="20"/>
      <c r="BN15" s="20"/>
      <c r="BO15" s="20"/>
      <c r="BP15" s="20"/>
      <c r="BQ15" s="20"/>
      <c r="BR15" s="20"/>
      <c r="BS15" s="20"/>
      <c r="BT15" s="20"/>
      <c r="BU15" s="20"/>
      <c r="BV15" s="20"/>
      <c r="BW15" s="20"/>
      <c r="BX15" s="20"/>
      <c r="BY15" s="20"/>
      <c r="BZ15" s="20"/>
      <c r="CA15" s="20"/>
      <c r="CB15" s="20"/>
      <c r="CC15" s="20"/>
      <c r="CD15" s="20"/>
      <c r="CE15" s="20"/>
      <c r="CF15" s="20"/>
      <c r="CG15" s="20"/>
      <c r="CH15" s="20"/>
      <c r="CI15" s="20"/>
      <c r="CJ15" s="20"/>
      <c r="CK15" s="20"/>
      <c r="CL15" s="20"/>
      <c r="CM15" s="20"/>
      <c r="CN15" s="20"/>
      <c r="CO15" s="20"/>
      <c r="CP15" s="20"/>
      <c r="CQ15" s="20"/>
      <c r="CR15" s="20"/>
      <c r="CS15" s="20"/>
      <c r="CT15" s="20"/>
      <c r="CU15" s="20"/>
      <c r="CV15" s="20"/>
      <c r="CW15" s="20"/>
      <c r="CX15" s="20"/>
      <c r="CY15" s="20"/>
      <c r="CZ15" s="20"/>
      <c r="DA15" s="20"/>
      <c r="DB15" s="20"/>
      <c r="DC15" s="20"/>
      <c r="DD15" s="20"/>
      <c r="DE15" s="20"/>
      <c r="DF15" s="20"/>
      <c r="DG15" s="20"/>
      <c r="DH15" s="20"/>
      <c r="DI15" s="20"/>
      <c r="DJ15" s="20"/>
      <c r="DK15" s="20"/>
      <c r="DL15" s="20"/>
      <c r="DM15" s="20"/>
      <c r="DN15" s="20"/>
      <c r="DO15" s="20"/>
      <c r="DP15" s="20"/>
      <c r="DQ15" s="20"/>
      <c r="DR15" s="20"/>
      <c r="DS15" s="20"/>
      <c r="DT15" s="20"/>
      <c r="DU15" s="20"/>
      <c r="DV15" s="20"/>
      <c r="DW15" s="20"/>
      <c r="DX15" s="20"/>
      <c r="DY15" s="20"/>
      <c r="DZ15" s="20"/>
      <c r="EA15" s="20"/>
      <c r="EB15" s="20"/>
      <c r="EC15" s="20"/>
      <c r="ED15" s="20"/>
      <c r="EE15" s="20"/>
      <c r="EF15" s="20"/>
      <c r="EG15" s="20"/>
      <c r="EH15" s="20"/>
      <c r="EI15" s="20"/>
      <c r="EJ15" s="20"/>
      <c r="EK15" s="20"/>
      <c r="EL15" s="20"/>
      <c r="EM15" s="20"/>
      <c r="EN15" s="20"/>
      <c r="EO15" s="20"/>
      <c r="EP15" s="20"/>
      <c r="EQ15" s="20"/>
      <c r="ER15" s="20"/>
      <c r="ES15" s="20"/>
      <c r="ET15" s="20"/>
      <c r="EU15" s="20"/>
      <c r="EV15" s="20"/>
      <c r="EW15" s="20"/>
      <c r="EX15" s="20"/>
      <c r="EY15" s="20"/>
      <c r="EZ15" s="20"/>
      <c r="FA15" s="20"/>
      <c r="FB15" s="20"/>
      <c r="FC15" s="20"/>
      <c r="FD15" s="20"/>
      <c r="FE15" s="20"/>
      <c r="FF15" s="20"/>
      <c r="FG15" s="20"/>
      <c r="FH15" s="20"/>
      <c r="FI15" s="20"/>
      <c r="FJ15" s="20"/>
      <c r="FK15" s="20"/>
      <c r="FL15" s="20"/>
      <c r="FM15" s="20"/>
      <c r="FN15" s="20"/>
      <c r="FO15" s="20"/>
      <c r="FP15" s="20"/>
      <c r="FQ15" s="20"/>
      <c r="FR15" s="20"/>
      <c r="FS15" s="20"/>
      <c r="FT15" s="20"/>
      <c r="FU15" s="20"/>
      <c r="FV15" s="20"/>
      <c r="FW15" s="20"/>
      <c r="FX15" s="20"/>
      <c r="FY15" s="20"/>
      <c r="FZ15" s="20"/>
      <c r="GA15" s="20"/>
      <c r="GB15" s="20"/>
      <c r="GC15" s="20"/>
      <c r="GD15" s="20"/>
      <c r="GE15" s="20"/>
      <c r="GF15" s="20"/>
      <c r="GG15" s="20"/>
      <c r="GH15" s="20"/>
      <c r="GI15" s="20"/>
      <c r="GJ15" s="20"/>
      <c r="GK15" s="20"/>
      <c r="GL15" s="20"/>
      <c r="GM15" s="20"/>
      <c r="GN15" s="20"/>
      <c r="GO15" s="20"/>
      <c r="GP15" s="20"/>
      <c r="GQ15" s="20"/>
      <c r="GR15" s="20"/>
      <c r="GS15" s="20"/>
      <c r="GT15" s="20"/>
      <c r="GU15" s="20"/>
      <c r="GV15" s="20"/>
      <c r="GW15" s="20"/>
      <c r="GX15" s="20"/>
      <c r="GY15" s="20"/>
      <c r="GZ15" s="20"/>
      <c r="HA15" s="20"/>
      <c r="HB15" s="20"/>
      <c r="HC15" s="20"/>
      <c r="HD15" s="20"/>
      <c r="HE15" s="20"/>
      <c r="HF15" s="20"/>
      <c r="HG15" s="20"/>
      <c r="HH15" s="20"/>
      <c r="HI15" s="20"/>
      <c r="HJ15" s="20"/>
      <c r="HK15" s="20"/>
      <c r="HL15" s="20"/>
      <c r="HM15" s="20"/>
    </row>
    <row r="16" spans="1:221" ht="55.95" customHeight="1" x14ac:dyDescent="0.3">
      <c r="A16" s="7">
        <v>16</v>
      </c>
      <c r="B16" s="6" t="s">
        <v>8</v>
      </c>
      <c r="C16" s="10" t="s">
        <v>276</v>
      </c>
      <c r="D16" s="7">
        <v>2024</v>
      </c>
      <c r="E16" s="13" t="s">
        <v>58</v>
      </c>
      <c r="F16" s="7">
        <v>7</v>
      </c>
      <c r="G16" s="1" t="str">
        <f t="shared" si="0"/>
        <v>Wu T.</v>
      </c>
      <c r="H16" s="15" t="s">
        <v>177</v>
      </c>
      <c r="I16" s="15" t="s">
        <v>78</v>
      </c>
      <c r="J16" s="1" t="str">
        <f t="shared" si="1"/>
        <v>ENG</v>
      </c>
      <c r="K16" s="1" t="s">
        <v>222</v>
      </c>
      <c r="L16" s="1" t="s">
        <v>402</v>
      </c>
      <c r="M16" s="1" t="s">
        <v>401</v>
      </c>
      <c r="N16" s="1" t="s">
        <v>383</v>
      </c>
      <c r="O16" s="1" t="s">
        <v>477</v>
      </c>
      <c r="P16" s="1" t="s">
        <v>422</v>
      </c>
      <c r="R16" s="1" t="s">
        <v>423</v>
      </c>
      <c r="S16" s="6" t="s">
        <v>1803</v>
      </c>
      <c r="T16" s="6" t="s">
        <v>1804</v>
      </c>
      <c r="W16" s="15" t="s">
        <v>444</v>
      </c>
      <c r="X16" s="6" t="s">
        <v>1805</v>
      </c>
      <c r="Y16" s="6" t="s">
        <v>424</v>
      </c>
      <c r="Z16" s="1">
        <v>4</v>
      </c>
      <c r="AA16" s="1">
        <v>4</v>
      </c>
      <c r="AB16" s="7" t="s">
        <v>566</v>
      </c>
      <c r="AC16" s="1" t="s">
        <v>578</v>
      </c>
      <c r="AD16" s="1" t="s">
        <v>573</v>
      </c>
      <c r="AE16" s="7" t="s">
        <v>225</v>
      </c>
      <c r="AF16" s="6"/>
      <c r="AG16" s="6" t="s">
        <v>615</v>
      </c>
      <c r="AH16" s="6" t="s">
        <v>616</v>
      </c>
      <c r="AK16" s="23" cm="1">
        <f t="array" ref="AK16">_xlfn.IFS(AC16="Principles observation",1, AC16="Concept formulation",2, AC16="Proof-of-concept simulation", 3, AC16="Core function validation", 4, AC16="Integration component testing", 5, AC16="Component validation in relevant environment", 6, AC16="Subsystem demonstration in relevant environment", 7, AC16="System demonstration in operational environment", 8, AC16="Production qualification", 9, AC16="Mission-proven operations", 10)</f>
        <v>4</v>
      </c>
      <c r="AL16" s="23" cm="1">
        <f t="array" ref="AL16">_xlfn.IFS(AD16="Assistive GenAI", 1, AD16="GenAI-led with human oversight", 2, AD16="Autonomous process learning", 3)</f>
        <v>1</v>
      </c>
    </row>
    <row r="17" spans="1:221" ht="55.95" customHeight="1" x14ac:dyDescent="0.3">
      <c r="A17" s="7">
        <v>17</v>
      </c>
      <c r="B17" s="6" t="s">
        <v>239</v>
      </c>
      <c r="C17" s="10" t="s">
        <v>295</v>
      </c>
      <c r="D17" s="7">
        <v>2024</v>
      </c>
      <c r="E17" s="13" t="s">
        <v>321</v>
      </c>
      <c r="F17" s="7">
        <v>5</v>
      </c>
      <c r="G17" s="1" t="str">
        <f t="shared" si="0"/>
        <v>Zhu J.</v>
      </c>
      <c r="H17" s="15" t="s">
        <v>348</v>
      </c>
      <c r="I17" s="15" t="s">
        <v>365</v>
      </c>
      <c r="J17" s="1" t="s">
        <v>228</v>
      </c>
      <c r="K17" s="1" t="s">
        <v>222</v>
      </c>
      <c r="L17" s="1" t="s">
        <v>402</v>
      </c>
      <c r="M17" s="1" t="s">
        <v>425</v>
      </c>
      <c r="N17" s="1" t="s">
        <v>383</v>
      </c>
      <c r="O17" s="1" t="s">
        <v>426</v>
      </c>
      <c r="R17" s="1" t="s">
        <v>427</v>
      </c>
      <c r="S17" s="6" t="s">
        <v>1806</v>
      </c>
      <c r="T17" s="6" t="s">
        <v>1807</v>
      </c>
      <c r="X17" s="6" t="s">
        <v>1808</v>
      </c>
      <c r="Y17" s="6" t="s">
        <v>429</v>
      </c>
      <c r="Z17" s="1">
        <v>4</v>
      </c>
      <c r="AA17" s="1">
        <v>4</v>
      </c>
      <c r="AB17" s="7" t="s">
        <v>566</v>
      </c>
      <c r="AC17" s="1" t="s">
        <v>578</v>
      </c>
      <c r="AD17" s="1" t="s">
        <v>573</v>
      </c>
      <c r="AE17" s="1" t="s">
        <v>225</v>
      </c>
      <c r="AF17" s="6"/>
      <c r="AG17" s="6" t="s">
        <v>617</v>
      </c>
      <c r="AH17" s="6" t="s">
        <v>618</v>
      </c>
      <c r="AK17" s="23" cm="1">
        <f t="array" ref="AK17">_xlfn.IFS(AC17="Principles observation",1, AC17="Concept formulation",2, AC17="Proof-of-concept simulation", 3, AC17="Core function validation", 4, AC17="Integration component testing", 5, AC17="Component validation in relevant environment", 6, AC17="Subsystem demonstration in relevant environment", 7, AC17="System demonstration in operational environment", 8, AC17="Production qualification", 9, AC17="Mission-proven operations", 10)</f>
        <v>4</v>
      </c>
      <c r="AL17" s="23" cm="1">
        <f t="array" ref="AL17">_xlfn.IFS(AD17="Assistive GenAI", 1, AD17="GenAI-led with human oversight", 2, AD17="Autonomous process learning", 3)</f>
        <v>1</v>
      </c>
    </row>
    <row r="18" spans="1:221" ht="55.95" customHeight="1" x14ac:dyDescent="0.3">
      <c r="A18" s="7">
        <v>18</v>
      </c>
      <c r="B18" s="6" t="s">
        <v>22</v>
      </c>
      <c r="C18" s="10" t="s">
        <v>254</v>
      </c>
      <c r="D18" s="7">
        <v>2024</v>
      </c>
      <c r="E18" s="13" t="s">
        <v>58</v>
      </c>
      <c r="F18" s="7">
        <v>3</v>
      </c>
      <c r="G18" s="1" t="str">
        <f t="shared" si="0"/>
        <v>Shi D.</v>
      </c>
      <c r="H18" s="15" t="s">
        <v>186</v>
      </c>
      <c r="I18" s="15" t="s">
        <v>92</v>
      </c>
      <c r="J18" s="1" t="str">
        <f t="shared" ref="J18:J47" si="2">IF(OR(
  E18="International Journal of Production Research",
  E18="Journal of Manufacturing Technology Management",
  E18="International Journal of Production Economics",
  E18="Journal of Industrial Information Integration",
  E18="Transportation Research Part E: Logistics and Transportation Review",
  E18="Journal of Cleaner Production",
  E18="MM 2024 - Proceedings of the 32nd ACM International Conference on Multimedia",
  E18="Oeconomia Copernicana",
  E18="Technology in Society"
), "MGT", "ENG")</f>
        <v>ENG</v>
      </c>
      <c r="K18" s="1" t="s">
        <v>222</v>
      </c>
      <c r="L18" s="1" t="s">
        <v>402</v>
      </c>
      <c r="M18" s="1" t="s">
        <v>425</v>
      </c>
      <c r="N18" s="1" t="s">
        <v>471</v>
      </c>
      <c r="O18" s="1" t="s">
        <v>416</v>
      </c>
      <c r="R18" s="1" t="s">
        <v>403</v>
      </c>
      <c r="S18" s="6" t="s">
        <v>1809</v>
      </c>
      <c r="T18" s="6" t="s">
        <v>1810</v>
      </c>
      <c r="V18" s="6" t="s">
        <v>1811</v>
      </c>
      <c r="W18" s="15" t="s">
        <v>443</v>
      </c>
      <c r="X18" s="6" t="s">
        <v>1812</v>
      </c>
      <c r="Y18" s="6" t="s">
        <v>430</v>
      </c>
      <c r="Z18" s="1">
        <v>4</v>
      </c>
      <c r="AA18" s="1">
        <v>3</v>
      </c>
      <c r="AB18" s="1" t="s">
        <v>610</v>
      </c>
      <c r="AC18" s="1" t="s">
        <v>619</v>
      </c>
      <c r="AD18" s="1" t="s">
        <v>573</v>
      </c>
      <c r="AE18" s="1" t="s">
        <v>225</v>
      </c>
      <c r="AF18" s="6"/>
      <c r="AG18" s="6" t="s">
        <v>620</v>
      </c>
      <c r="AH18" s="6" t="s">
        <v>621</v>
      </c>
      <c r="AK18" s="23" cm="1">
        <f t="array" ref="AK18">_xlfn.IFS(AC18="Principles observation",1, AC18="Concept formulation",2, AC18="Proof-of-concept simulation", 3, AC18="Core function validation", 4, AC18="Integration component testing", 5, AC18="Component validation in relevant environment", 6, AC18="Subsystem demonstration in relevant environment", 7, AC18="System demonstration in operational environment", 8, AC18="Production qualification", 9, AC18="Mission-proven operations", 10)</f>
        <v>7</v>
      </c>
      <c r="AL18" s="23" cm="1">
        <f t="array" ref="AL18">_xlfn.IFS(AD18="Assistive GenAI", 1, AD18="GenAI-led with human oversight", 2, AD18="Autonomous process learning", 3)</f>
        <v>1</v>
      </c>
    </row>
    <row r="19" spans="1:221" ht="55.95" customHeight="1" x14ac:dyDescent="0.3">
      <c r="A19" s="7">
        <v>19</v>
      </c>
      <c r="B19" s="6" t="s">
        <v>245</v>
      </c>
      <c r="C19" s="10" t="s">
        <v>311</v>
      </c>
      <c r="D19" s="7">
        <v>2024</v>
      </c>
      <c r="E19" s="13" t="s">
        <v>63</v>
      </c>
      <c r="F19" s="7">
        <v>3</v>
      </c>
      <c r="G19" s="1" t="str">
        <f t="shared" si="0"/>
        <v>Liu Y.</v>
      </c>
      <c r="H19" s="15" t="s">
        <v>355</v>
      </c>
      <c r="I19" s="15" t="s">
        <v>369</v>
      </c>
      <c r="J19" s="1" t="str">
        <f t="shared" si="2"/>
        <v>ENG</v>
      </c>
      <c r="K19" s="1" t="s">
        <v>222</v>
      </c>
      <c r="L19" s="1" t="s">
        <v>402</v>
      </c>
      <c r="M19" s="1" t="s">
        <v>425</v>
      </c>
      <c r="N19" s="1" t="s">
        <v>471</v>
      </c>
      <c r="O19" s="1" t="s">
        <v>419</v>
      </c>
      <c r="R19" s="1" t="s">
        <v>386</v>
      </c>
      <c r="S19" s="6" t="s">
        <v>1813</v>
      </c>
      <c r="T19" s="6" t="s">
        <v>1814</v>
      </c>
      <c r="V19" s="6" t="s">
        <v>1815</v>
      </c>
      <c r="X19" s="6" t="s">
        <v>1816</v>
      </c>
      <c r="Y19" s="6" t="s">
        <v>431</v>
      </c>
      <c r="Z19" s="1">
        <v>4</v>
      </c>
      <c r="AA19" s="1">
        <v>3</v>
      </c>
      <c r="AB19" s="7" t="s">
        <v>566</v>
      </c>
      <c r="AC19" s="1" t="s">
        <v>578</v>
      </c>
      <c r="AD19" s="1" t="s">
        <v>573</v>
      </c>
      <c r="AE19" s="1" t="s">
        <v>225</v>
      </c>
      <c r="AF19" s="6"/>
      <c r="AG19" s="6" t="s">
        <v>622</v>
      </c>
      <c r="AH19" s="6" t="s">
        <v>623</v>
      </c>
      <c r="AK19" s="23" cm="1">
        <f t="array" ref="AK19">_xlfn.IFS(AC19="Principles observation",1, AC19="Concept formulation",2, AC19="Proof-of-concept simulation", 3, AC19="Core function validation", 4, AC19="Integration component testing", 5, AC19="Component validation in relevant environment", 6, AC19="Subsystem demonstration in relevant environment", 7, AC19="System demonstration in operational environment", 8, AC19="Production qualification", 9, AC19="Mission-proven operations", 10)</f>
        <v>4</v>
      </c>
      <c r="AL19" s="23" cm="1">
        <f t="array" ref="AL19">_xlfn.IFS(AD19="Assistive GenAI", 1, AD19="GenAI-led with human oversight", 2, AD19="Autonomous process learning", 3)</f>
        <v>1</v>
      </c>
    </row>
    <row r="20" spans="1:221" ht="55.95" customHeight="1" x14ac:dyDescent="0.3">
      <c r="A20" s="7">
        <v>21</v>
      </c>
      <c r="B20" s="6" t="s">
        <v>241</v>
      </c>
      <c r="C20" s="10" t="s">
        <v>297</v>
      </c>
      <c r="D20" s="7">
        <v>2024</v>
      </c>
      <c r="E20" s="13" t="s">
        <v>61</v>
      </c>
      <c r="F20" s="7">
        <v>1</v>
      </c>
      <c r="G20" s="1" t="str">
        <f t="shared" si="0"/>
        <v>Cheamsiri W.</v>
      </c>
      <c r="H20" s="15" t="s">
        <v>349</v>
      </c>
      <c r="I20" s="15" t="s">
        <v>366</v>
      </c>
      <c r="J20" s="1" t="str">
        <f t="shared" si="2"/>
        <v>ENG</v>
      </c>
      <c r="K20" s="1" t="s">
        <v>222</v>
      </c>
      <c r="L20" s="1" t="s">
        <v>402</v>
      </c>
      <c r="M20" s="1" t="s">
        <v>401</v>
      </c>
      <c r="N20" s="1" t="s">
        <v>383</v>
      </c>
      <c r="O20" s="1" t="s">
        <v>426</v>
      </c>
      <c r="P20" s="1" t="s">
        <v>432</v>
      </c>
      <c r="R20" s="1" t="s">
        <v>433</v>
      </c>
      <c r="S20" s="6" t="s">
        <v>1817</v>
      </c>
      <c r="T20" s="6" t="s">
        <v>1818</v>
      </c>
      <c r="V20" s="6" t="s">
        <v>1819</v>
      </c>
      <c r="W20" s="15" t="s">
        <v>564</v>
      </c>
      <c r="X20" s="6" t="s">
        <v>1820</v>
      </c>
      <c r="Y20" s="6" t="s">
        <v>434</v>
      </c>
      <c r="Z20" s="1">
        <v>3</v>
      </c>
      <c r="AA20" s="1">
        <v>3</v>
      </c>
      <c r="AB20" s="7" t="s">
        <v>566</v>
      </c>
      <c r="AC20" s="1" t="s">
        <v>578</v>
      </c>
      <c r="AD20" s="1" t="s">
        <v>573</v>
      </c>
      <c r="AE20" s="1" t="s">
        <v>225</v>
      </c>
      <c r="AF20" s="6"/>
      <c r="AG20" s="6" t="s">
        <v>624</v>
      </c>
      <c r="AH20" s="6" t="s">
        <v>625</v>
      </c>
      <c r="AK20" s="23" cm="1">
        <f t="array" ref="AK20">_xlfn.IFS(AC20="Principles observation",1, AC20="Concept formulation",2, AC20="Proof-of-concept simulation", 3, AC20="Core function validation", 4, AC20="Integration component testing", 5, AC20="Component validation in relevant environment", 6, AC20="Subsystem demonstration in relevant environment", 7, AC20="System demonstration in operational environment", 8, AC20="Production qualification", 9, AC20="Mission-proven operations", 10)</f>
        <v>4</v>
      </c>
      <c r="AL20" s="23" cm="1">
        <f t="array" ref="AL20">_xlfn.IFS(AD20="Assistive GenAI", 1, AD20="GenAI-led with human oversight", 2, AD20="Autonomous process learning", 3)</f>
        <v>1</v>
      </c>
    </row>
    <row r="21" spans="1:221" ht="55.95" customHeight="1" x14ac:dyDescent="0.3">
      <c r="A21" s="7">
        <v>22</v>
      </c>
      <c r="B21" s="6" t="s">
        <v>44</v>
      </c>
      <c r="C21" s="10" t="s">
        <v>282</v>
      </c>
      <c r="D21" s="7">
        <v>2024</v>
      </c>
      <c r="E21" s="13" t="s">
        <v>66</v>
      </c>
      <c r="F21" s="7">
        <v>0</v>
      </c>
      <c r="G21" s="1" t="str">
        <f t="shared" si="0"/>
        <v>Cao S.</v>
      </c>
      <c r="H21" s="15" t="s">
        <v>198</v>
      </c>
      <c r="I21" s="15" t="s">
        <v>116</v>
      </c>
      <c r="J21" s="1" t="str">
        <f t="shared" si="2"/>
        <v>ENG</v>
      </c>
      <c r="K21" s="1" t="s">
        <v>222</v>
      </c>
      <c r="L21" s="1" t="s">
        <v>402</v>
      </c>
      <c r="M21" s="1" t="s">
        <v>217</v>
      </c>
      <c r="N21" s="1" t="s">
        <v>383</v>
      </c>
      <c r="O21" s="1" t="s">
        <v>437</v>
      </c>
      <c r="R21" s="1" t="s">
        <v>386</v>
      </c>
      <c r="S21" s="6" t="s">
        <v>1821</v>
      </c>
      <c r="T21" s="6" t="s">
        <v>1822</v>
      </c>
      <c r="V21" s="6" t="s">
        <v>1823</v>
      </c>
      <c r="X21" s="6" t="s">
        <v>1824</v>
      </c>
      <c r="Y21" s="6" t="s">
        <v>436</v>
      </c>
      <c r="Z21" s="1">
        <v>4</v>
      </c>
      <c r="AA21" s="1">
        <v>2</v>
      </c>
      <c r="AB21" s="7" t="s">
        <v>566</v>
      </c>
      <c r="AC21" s="1" t="s">
        <v>578</v>
      </c>
      <c r="AD21" s="1" t="s">
        <v>573</v>
      </c>
      <c r="AE21" s="1" t="s">
        <v>225</v>
      </c>
      <c r="AF21" s="6"/>
      <c r="AG21" s="6" t="s">
        <v>626</v>
      </c>
      <c r="AH21" s="6" t="s">
        <v>627</v>
      </c>
      <c r="AK21" s="23" cm="1">
        <f t="array" ref="AK21">_xlfn.IFS(AC21="Principles observation",1, AC21="Concept formulation",2, AC21="Proof-of-concept simulation", 3, AC21="Core function validation", 4, AC21="Integration component testing", 5, AC21="Component validation in relevant environment", 6, AC21="Subsystem demonstration in relevant environment", 7, AC21="System demonstration in operational environment", 8, AC21="Production qualification", 9, AC21="Mission-proven operations", 10)</f>
        <v>4</v>
      </c>
      <c r="AL21" s="23" cm="1">
        <f t="array" ref="AL21">_xlfn.IFS(AD21="Assistive GenAI", 1, AD21="GenAI-led with human oversight", 2, AD21="Autonomous process learning", 3)</f>
        <v>1</v>
      </c>
    </row>
    <row r="22" spans="1:221" ht="55.95" customHeight="1" x14ac:dyDescent="0.3">
      <c r="A22" s="7">
        <v>23</v>
      </c>
      <c r="B22" s="6" t="s">
        <v>238</v>
      </c>
      <c r="C22" s="10" t="s">
        <v>293</v>
      </c>
      <c r="D22" s="7">
        <v>2024</v>
      </c>
      <c r="E22" s="13" t="s">
        <v>320</v>
      </c>
      <c r="F22" s="7">
        <v>0</v>
      </c>
      <c r="G22" s="1" t="str">
        <f t="shared" si="0"/>
        <v>Cheng Z.-Q.</v>
      </c>
      <c r="H22" s="15" t="s">
        <v>347</v>
      </c>
      <c r="J22" s="1" t="str">
        <f t="shared" si="2"/>
        <v>ENG</v>
      </c>
      <c r="K22" s="1" t="s">
        <v>222</v>
      </c>
      <c r="L22" s="1" t="s">
        <v>402</v>
      </c>
      <c r="M22" s="1" t="s">
        <v>217</v>
      </c>
      <c r="N22" s="1" t="s">
        <v>387</v>
      </c>
      <c r="O22" s="1" t="s">
        <v>439</v>
      </c>
      <c r="P22" s="1" t="s">
        <v>398</v>
      </c>
      <c r="R22" s="1" t="s">
        <v>386</v>
      </c>
      <c r="S22" s="6" t="s">
        <v>1825</v>
      </c>
      <c r="X22" s="6" t="s">
        <v>1826</v>
      </c>
      <c r="Y22" s="6" t="s">
        <v>438</v>
      </c>
      <c r="Z22" s="1">
        <v>4</v>
      </c>
      <c r="AA22" s="1">
        <v>4</v>
      </c>
      <c r="AB22" s="7" t="s">
        <v>566</v>
      </c>
      <c r="AC22" s="1" t="s">
        <v>578</v>
      </c>
      <c r="AD22" s="1" t="s">
        <v>573</v>
      </c>
      <c r="AE22" s="1" t="s">
        <v>225</v>
      </c>
      <c r="AF22" s="6"/>
      <c r="AG22" s="6" t="s">
        <v>628</v>
      </c>
      <c r="AH22" s="6" t="s">
        <v>629</v>
      </c>
      <c r="AK22" s="23" cm="1">
        <f t="array" ref="AK22">_xlfn.IFS(AC22="Principles observation",1, AC22="Concept formulation",2, AC22="Proof-of-concept simulation", 3, AC22="Core function validation", 4, AC22="Integration component testing", 5, AC22="Component validation in relevant environment", 6, AC22="Subsystem demonstration in relevant environment", 7, AC22="System demonstration in operational environment", 8, AC22="Production qualification", 9, AC22="Mission-proven operations", 10)</f>
        <v>4</v>
      </c>
      <c r="AL22" s="23" cm="1">
        <f t="array" ref="AL22">_xlfn.IFS(AD22="Assistive GenAI", 1, AD22="GenAI-led with human oversight", 2, AD22="Autonomous process learning", 3)</f>
        <v>1</v>
      </c>
    </row>
    <row r="23" spans="1:221" ht="55.95" customHeight="1" x14ac:dyDescent="0.3">
      <c r="A23" s="7">
        <v>24</v>
      </c>
      <c r="B23" s="6" t="s">
        <v>40</v>
      </c>
      <c r="C23" s="10" t="s">
        <v>301</v>
      </c>
      <c r="D23" s="7">
        <v>2024</v>
      </c>
      <c r="E23" s="13" t="s">
        <v>68</v>
      </c>
      <c r="F23" s="7">
        <v>0</v>
      </c>
      <c r="G23" s="1" t="str">
        <f t="shared" si="0"/>
        <v>Ji Y.</v>
      </c>
      <c r="H23" s="15" t="s">
        <v>193</v>
      </c>
      <c r="I23" s="15" t="s">
        <v>112</v>
      </c>
      <c r="J23" s="1" t="str">
        <f t="shared" si="2"/>
        <v>ENG</v>
      </c>
      <c r="K23" s="1" t="s">
        <v>222</v>
      </c>
      <c r="L23" s="1" t="s">
        <v>402</v>
      </c>
      <c r="M23" s="1" t="s">
        <v>401</v>
      </c>
      <c r="N23" s="1" t="s">
        <v>383</v>
      </c>
      <c r="O23" s="1" t="s">
        <v>484</v>
      </c>
      <c r="R23" s="1" t="s">
        <v>386</v>
      </c>
      <c r="S23" s="6" t="s">
        <v>1827</v>
      </c>
      <c r="T23" s="6" t="s">
        <v>1828</v>
      </c>
      <c r="V23" s="6" t="s">
        <v>1829</v>
      </c>
      <c r="W23" s="15" t="s">
        <v>446</v>
      </c>
      <c r="X23" s="6" t="s">
        <v>1830</v>
      </c>
      <c r="Y23" s="6" t="s">
        <v>440</v>
      </c>
      <c r="Z23" s="1">
        <v>4</v>
      </c>
      <c r="AA23" s="1">
        <v>4</v>
      </c>
      <c r="AB23" s="7" t="s">
        <v>566</v>
      </c>
      <c r="AC23" s="1" t="s">
        <v>590</v>
      </c>
      <c r="AD23" s="1" t="s">
        <v>574</v>
      </c>
      <c r="AE23" s="1" t="s">
        <v>225</v>
      </c>
      <c r="AF23" s="6"/>
      <c r="AG23" s="6" t="s">
        <v>630</v>
      </c>
      <c r="AH23" s="6" t="s">
        <v>631</v>
      </c>
      <c r="AK23" s="23" cm="1">
        <f t="array" ref="AK23">_xlfn.IFS(AC23="Principles observation",1, AC23="Concept formulation",2, AC23="Proof-of-concept simulation", 3, AC23="Core function validation", 4, AC23="Integration component testing", 5, AC23="Component validation in relevant environment", 6, AC23="Subsystem demonstration in relevant environment", 7, AC23="System demonstration in operational environment", 8, AC23="Production qualification", 9, AC23="Mission-proven operations", 10)</f>
        <v>5</v>
      </c>
      <c r="AL23" s="23" cm="1">
        <f t="array" ref="AL23">_xlfn.IFS(AD23="Assistive GenAI", 1, AD23="GenAI-led with human oversight", 2, AD23="Autonomous process learning", 3)</f>
        <v>2</v>
      </c>
    </row>
    <row r="24" spans="1:221" ht="55.95" customHeight="1" x14ac:dyDescent="0.3">
      <c r="A24" s="7">
        <v>25</v>
      </c>
      <c r="B24" s="6" t="s">
        <v>231</v>
      </c>
      <c r="C24" s="10" t="s">
        <v>257</v>
      </c>
      <c r="D24" s="7">
        <v>2025</v>
      </c>
      <c r="E24" s="13" t="s">
        <v>318</v>
      </c>
      <c r="F24" s="7">
        <v>55</v>
      </c>
      <c r="G24" s="1" t="str">
        <f t="shared" si="0"/>
        <v>Picard C.</v>
      </c>
      <c r="H24" s="15" t="s">
        <v>336</v>
      </c>
      <c r="J24" s="1" t="str">
        <f t="shared" si="2"/>
        <v>ENG</v>
      </c>
      <c r="K24" s="1" t="s">
        <v>222</v>
      </c>
      <c r="L24" s="1" t="s">
        <v>515</v>
      </c>
      <c r="M24" s="1" t="s">
        <v>217</v>
      </c>
      <c r="N24" s="1" t="s">
        <v>224</v>
      </c>
      <c r="O24" s="1" t="s">
        <v>516</v>
      </c>
      <c r="R24" s="1" t="s">
        <v>227</v>
      </c>
      <c r="S24" s="6" t="s">
        <v>1831</v>
      </c>
      <c r="T24" s="6" t="s">
        <v>1832</v>
      </c>
      <c r="V24" s="6" t="s">
        <v>1833</v>
      </c>
      <c r="W24" s="15" t="s">
        <v>518</v>
      </c>
      <c r="X24" s="6" t="s">
        <v>1834</v>
      </c>
      <c r="Y24" s="6" t="s">
        <v>517</v>
      </c>
      <c r="Z24" s="1">
        <v>5</v>
      </c>
      <c r="AA24" s="1">
        <v>5</v>
      </c>
      <c r="AB24" s="7" t="s">
        <v>566</v>
      </c>
      <c r="AC24" s="1" t="s">
        <v>578</v>
      </c>
      <c r="AD24" s="1" t="s">
        <v>573</v>
      </c>
      <c r="AE24" s="1" t="s">
        <v>225</v>
      </c>
      <c r="AF24" s="6"/>
      <c r="AG24" s="6" t="s">
        <v>632</v>
      </c>
      <c r="AH24" s="6" t="s">
        <v>633</v>
      </c>
      <c r="AK24" s="23" cm="1">
        <f t="array" ref="AK24">_xlfn.IFS(AC24="Principles observation",1, AC24="Concept formulation",2, AC24="Proof-of-concept simulation", 3, AC24="Core function validation", 4, AC24="Integration component testing", 5, AC24="Component validation in relevant environment", 6, AC24="Subsystem demonstration in relevant environment", 7, AC24="System demonstration in operational environment", 8, AC24="Production qualification", 9, AC24="Mission-proven operations", 10)</f>
        <v>4</v>
      </c>
      <c r="AL24" s="23" cm="1">
        <f t="array" ref="AL24">_xlfn.IFS(AD24="Assistive GenAI", 1, AD24="GenAI-led with human oversight", 2, AD24="Autonomous process learning", 3)</f>
        <v>1</v>
      </c>
    </row>
    <row r="25" spans="1:221" ht="55.95" customHeight="1" x14ac:dyDescent="0.3">
      <c r="A25" s="7">
        <v>26</v>
      </c>
      <c r="B25" s="6" t="s">
        <v>6</v>
      </c>
      <c r="C25" s="10" t="s">
        <v>248</v>
      </c>
      <c r="D25" s="7">
        <v>2025</v>
      </c>
      <c r="E25" s="13" t="s">
        <v>56</v>
      </c>
      <c r="F25" s="7">
        <v>29</v>
      </c>
      <c r="G25" s="1" t="str">
        <f t="shared" si="0"/>
        <v>Fan H.</v>
      </c>
      <c r="H25" s="15" t="s">
        <v>187</v>
      </c>
      <c r="I25" s="15" t="s">
        <v>76</v>
      </c>
      <c r="J25" s="1" t="str">
        <f t="shared" si="2"/>
        <v>ENG</v>
      </c>
      <c r="K25" s="1" t="s">
        <v>222</v>
      </c>
      <c r="L25" s="1" t="s">
        <v>402</v>
      </c>
      <c r="M25" s="1" t="s">
        <v>401</v>
      </c>
      <c r="N25" s="1" t="s">
        <v>383</v>
      </c>
      <c r="O25" s="1" t="s">
        <v>393</v>
      </c>
      <c r="R25" s="1" t="s">
        <v>386</v>
      </c>
      <c r="S25" s="6" t="s">
        <v>1835</v>
      </c>
      <c r="T25" s="6" t="s">
        <v>1836</v>
      </c>
      <c r="U25" s="6" t="s">
        <v>1837</v>
      </c>
      <c r="V25" s="6" t="s">
        <v>1838</v>
      </c>
      <c r="W25" s="15" t="s">
        <v>447</v>
      </c>
      <c r="X25" s="6" t="s">
        <v>1839</v>
      </c>
      <c r="Y25" s="6" t="s">
        <v>448</v>
      </c>
      <c r="Z25" s="1">
        <v>4</v>
      </c>
      <c r="AA25" s="1">
        <v>4</v>
      </c>
      <c r="AB25" s="7" t="s">
        <v>602</v>
      </c>
      <c r="AC25" s="1" t="s">
        <v>587</v>
      </c>
      <c r="AD25" s="1" t="s">
        <v>574</v>
      </c>
      <c r="AE25" s="1" t="s">
        <v>225</v>
      </c>
      <c r="AF25" s="6"/>
      <c r="AG25" s="6" t="s">
        <v>634</v>
      </c>
      <c r="AH25" s="6" t="s">
        <v>635</v>
      </c>
      <c r="AK25" s="23" cm="1">
        <f t="array" ref="AK25">_xlfn.IFS(AC25="Principles observation",1, AC25="Concept formulation",2, AC25="Proof-of-concept simulation", 3, AC25="Core function validation", 4, AC25="Integration component testing", 5, AC25="Component validation in relevant environment", 6, AC25="Subsystem demonstration in relevant environment", 7, AC25="System demonstration in operational environment", 8, AC25="Production qualification", 9, AC25="Mission-proven operations", 10)</f>
        <v>3</v>
      </c>
      <c r="AL25" s="23" cm="1">
        <f t="array" ref="AL25">_xlfn.IFS(AD25="Assistive GenAI", 1, AD25="GenAI-led with human oversight", 2, AD25="Autonomous process learning", 3)</f>
        <v>2</v>
      </c>
    </row>
    <row r="26" spans="1:221" ht="59.25" customHeight="1" x14ac:dyDescent="0.3">
      <c r="A26" s="7">
        <v>27</v>
      </c>
      <c r="B26" s="6" t="s">
        <v>19</v>
      </c>
      <c r="C26" s="10" t="s">
        <v>261</v>
      </c>
      <c r="D26" s="7">
        <v>2025</v>
      </c>
      <c r="E26" s="13" t="s">
        <v>59</v>
      </c>
      <c r="F26" s="7">
        <v>6</v>
      </c>
      <c r="G26" s="1" t="str">
        <f t="shared" si="0"/>
        <v>Heredia Álvaro J.A.</v>
      </c>
      <c r="H26" s="15" t="s">
        <v>184</v>
      </c>
      <c r="I26" s="15" t="s">
        <v>89</v>
      </c>
      <c r="J26" s="1" t="str">
        <f t="shared" si="2"/>
        <v>ENG</v>
      </c>
      <c r="K26" s="1" t="s">
        <v>222</v>
      </c>
      <c r="L26" s="1" t="s">
        <v>402</v>
      </c>
      <c r="M26" s="1" t="s">
        <v>401</v>
      </c>
      <c r="N26" s="1" t="s">
        <v>383</v>
      </c>
      <c r="O26" s="1" t="s">
        <v>416</v>
      </c>
      <c r="P26" s="1" t="s">
        <v>449</v>
      </c>
      <c r="R26" s="1" t="s">
        <v>386</v>
      </c>
      <c r="S26" s="6" t="s">
        <v>1840</v>
      </c>
      <c r="T26" s="6" t="s">
        <v>1841</v>
      </c>
      <c r="U26" s="6" t="s">
        <v>1842</v>
      </c>
      <c r="V26" s="6" t="s">
        <v>1843</v>
      </c>
      <c r="W26" s="15" t="s">
        <v>450</v>
      </c>
      <c r="X26" s="6" t="s">
        <v>1844</v>
      </c>
      <c r="Y26" s="6" t="s">
        <v>451</v>
      </c>
      <c r="Z26" s="1">
        <v>4</v>
      </c>
      <c r="AA26" s="1">
        <v>5</v>
      </c>
      <c r="AB26" s="7" t="s">
        <v>566</v>
      </c>
      <c r="AC26" s="1" t="s">
        <v>578</v>
      </c>
      <c r="AD26" s="1" t="s">
        <v>573</v>
      </c>
      <c r="AE26" s="1" t="s">
        <v>225</v>
      </c>
      <c r="AF26" s="6"/>
      <c r="AG26" s="6" t="s">
        <v>636</v>
      </c>
      <c r="AH26" s="6" t="s">
        <v>637</v>
      </c>
      <c r="AK26" s="23" cm="1">
        <f t="array" ref="AK26">_xlfn.IFS(AC26="Principles observation",1, AC26="Concept formulation",2, AC26="Proof-of-concept simulation", 3, AC26="Core function validation", 4, AC26="Integration component testing", 5, AC26="Component validation in relevant environment", 6, AC26="Subsystem demonstration in relevant environment", 7, AC26="System demonstration in operational environment", 8, AC26="Production qualification", 9, AC26="Mission-proven operations", 10)</f>
        <v>4</v>
      </c>
      <c r="AL26" s="23" cm="1">
        <f t="array" ref="AL26">_xlfn.IFS(AD26="Assistive GenAI", 1, AD26="GenAI-led with human oversight", 2, AD26="Autonomous process learning", 3)</f>
        <v>1</v>
      </c>
    </row>
    <row r="27" spans="1:221" ht="55.95" customHeight="1" x14ac:dyDescent="0.3">
      <c r="A27" s="7">
        <v>28</v>
      </c>
      <c r="B27" s="6" t="s">
        <v>24</v>
      </c>
      <c r="C27" s="10" t="s">
        <v>277</v>
      </c>
      <c r="D27" s="7">
        <v>2025</v>
      </c>
      <c r="E27" s="13" t="s">
        <v>62</v>
      </c>
      <c r="F27" s="7">
        <v>6</v>
      </c>
      <c r="G27" s="1" t="str">
        <f t="shared" si="0"/>
        <v>Liu X.</v>
      </c>
      <c r="H27" s="15" t="s">
        <v>187</v>
      </c>
      <c r="I27" s="15" t="s">
        <v>94</v>
      </c>
      <c r="J27" s="1" t="str">
        <f t="shared" si="2"/>
        <v>ENG</v>
      </c>
      <c r="K27" s="1" t="s">
        <v>222</v>
      </c>
      <c r="L27" s="1" t="s">
        <v>402</v>
      </c>
      <c r="M27" s="1" t="s">
        <v>401</v>
      </c>
      <c r="N27" s="1" t="s">
        <v>383</v>
      </c>
      <c r="O27" s="1" t="s">
        <v>409</v>
      </c>
      <c r="R27" s="1" t="s">
        <v>386</v>
      </c>
      <c r="S27" s="6" t="s">
        <v>1845</v>
      </c>
      <c r="T27" s="6" t="s">
        <v>1846</v>
      </c>
      <c r="U27" s="6" t="s">
        <v>1847</v>
      </c>
      <c r="V27" s="6" t="s">
        <v>1848</v>
      </c>
      <c r="W27" s="15" t="s">
        <v>453</v>
      </c>
      <c r="X27" s="6" t="s">
        <v>1849</v>
      </c>
      <c r="Y27" s="6" t="s">
        <v>452</v>
      </c>
      <c r="Z27" s="1">
        <v>4</v>
      </c>
      <c r="AA27" s="1">
        <v>4</v>
      </c>
      <c r="AB27" s="7" t="s">
        <v>566</v>
      </c>
      <c r="AC27" s="1" t="s">
        <v>578</v>
      </c>
      <c r="AD27" s="1" t="s">
        <v>573</v>
      </c>
      <c r="AE27" s="1" t="s">
        <v>225</v>
      </c>
      <c r="AF27" s="6"/>
      <c r="AG27" s="6" t="s">
        <v>638</v>
      </c>
      <c r="AH27" s="6" t="s">
        <v>639</v>
      </c>
      <c r="AK27" s="23" cm="1">
        <f t="array" ref="AK27">_xlfn.IFS(AC27="Principles observation",1, AC27="Concept formulation",2, AC27="Proof-of-concept simulation", 3, AC27="Core function validation", 4, AC27="Integration component testing", 5, AC27="Component validation in relevant environment", 6, AC27="Subsystem demonstration in relevant environment", 7, AC27="System demonstration in operational environment", 8, AC27="Production qualification", 9, AC27="Mission-proven operations", 10)</f>
        <v>4</v>
      </c>
      <c r="AL27" s="23" cm="1">
        <f t="array" ref="AL27">_xlfn.IFS(AD27="Assistive GenAI", 1, AD27="GenAI-led with human oversight", 2, AD27="Autonomous process learning", 3)</f>
        <v>1</v>
      </c>
    </row>
    <row r="28" spans="1:221" ht="55.95" customHeight="1" x14ac:dyDescent="0.3">
      <c r="A28" s="7">
        <v>29</v>
      </c>
      <c r="B28" s="6" t="s">
        <v>34</v>
      </c>
      <c r="C28" s="10" t="s">
        <v>253</v>
      </c>
      <c r="D28" s="7">
        <v>2025</v>
      </c>
      <c r="E28" s="13" t="s">
        <v>62</v>
      </c>
      <c r="F28" s="7">
        <v>5</v>
      </c>
      <c r="G28" s="1" t="str">
        <f t="shared" si="0"/>
        <v>Shi D.</v>
      </c>
      <c r="H28" s="15" t="s">
        <v>186</v>
      </c>
      <c r="I28" s="15" t="s">
        <v>105</v>
      </c>
      <c r="J28" s="1" t="str">
        <f t="shared" si="2"/>
        <v>ENG</v>
      </c>
      <c r="K28" s="1" t="s">
        <v>222</v>
      </c>
      <c r="L28" s="1" t="s">
        <v>402</v>
      </c>
      <c r="M28" s="1" t="s">
        <v>401</v>
      </c>
      <c r="N28" s="1" t="s">
        <v>383</v>
      </c>
      <c r="O28" s="1" t="s">
        <v>454</v>
      </c>
      <c r="P28" s="1" t="s">
        <v>457</v>
      </c>
      <c r="R28" s="1" t="s">
        <v>403</v>
      </c>
      <c r="S28" s="6" t="s">
        <v>1850</v>
      </c>
      <c r="T28" s="6" t="s">
        <v>1851</v>
      </c>
      <c r="U28" s="6" t="s">
        <v>1852</v>
      </c>
      <c r="V28" s="6" t="s">
        <v>1853</v>
      </c>
      <c r="W28" s="15" t="s">
        <v>455</v>
      </c>
      <c r="X28" s="6" t="s">
        <v>1854</v>
      </c>
      <c r="Y28" s="6" t="s">
        <v>456</v>
      </c>
      <c r="Z28" s="1">
        <v>4</v>
      </c>
      <c r="AA28" s="1">
        <v>4</v>
      </c>
      <c r="AB28" s="7" t="s">
        <v>566</v>
      </c>
      <c r="AC28" s="1" t="s">
        <v>590</v>
      </c>
      <c r="AD28" s="1" t="s">
        <v>573</v>
      </c>
      <c r="AE28" s="1" t="s">
        <v>225</v>
      </c>
      <c r="AF28" s="6"/>
      <c r="AG28" s="6" t="s">
        <v>640</v>
      </c>
      <c r="AH28" s="6" t="s">
        <v>641</v>
      </c>
      <c r="AK28" s="23" cm="1">
        <f t="array" ref="AK28">_xlfn.IFS(AC28="Principles observation",1, AC28="Concept formulation",2, AC28="Proof-of-concept simulation", 3, AC28="Core function validation", 4, AC28="Integration component testing", 5, AC28="Component validation in relevant environment", 6, AC28="Subsystem demonstration in relevant environment", 7, AC28="System demonstration in operational environment", 8, AC28="Production qualification", 9, AC28="Mission-proven operations", 10)</f>
        <v>5</v>
      </c>
      <c r="AL28" s="23" cm="1">
        <f t="array" ref="AL28">_xlfn.IFS(AD28="Assistive GenAI", 1, AD28="GenAI-led with human oversight", 2, AD28="Autonomous process learning", 3)</f>
        <v>1</v>
      </c>
    </row>
    <row r="29" spans="1:221" s="11" customFormat="1" ht="55.95" customHeight="1" x14ac:dyDescent="0.3">
      <c r="A29" s="1">
        <v>30</v>
      </c>
      <c r="B29" s="6" t="s">
        <v>27</v>
      </c>
      <c r="C29" s="10" t="s">
        <v>251</v>
      </c>
      <c r="D29" s="7">
        <v>2025</v>
      </c>
      <c r="E29" s="13" t="s">
        <v>63</v>
      </c>
      <c r="F29" s="7">
        <v>4</v>
      </c>
      <c r="G29" s="1" t="str">
        <f t="shared" si="0"/>
        <v>Xia Y.</v>
      </c>
      <c r="H29" s="15" t="s">
        <v>215</v>
      </c>
      <c r="I29" s="15" t="s">
        <v>97</v>
      </c>
      <c r="J29" s="1" t="str">
        <f t="shared" si="2"/>
        <v>ENG</v>
      </c>
      <c r="K29" s="1" t="s">
        <v>222</v>
      </c>
      <c r="L29" s="1" t="s">
        <v>402</v>
      </c>
      <c r="M29" s="1" t="s">
        <v>401</v>
      </c>
      <c r="N29" s="1" t="s">
        <v>383</v>
      </c>
      <c r="O29" s="1" t="s">
        <v>460</v>
      </c>
      <c r="P29" s="1" t="s">
        <v>457</v>
      </c>
      <c r="Q29" s="1"/>
      <c r="R29" s="1" t="s">
        <v>386</v>
      </c>
      <c r="S29" s="6" t="s">
        <v>1855</v>
      </c>
      <c r="T29" s="6" t="s">
        <v>1856</v>
      </c>
      <c r="U29" s="6" t="s">
        <v>1857</v>
      </c>
      <c r="V29" s="6"/>
      <c r="W29" s="15" t="s">
        <v>458</v>
      </c>
      <c r="X29" s="6" t="s">
        <v>1858</v>
      </c>
      <c r="Y29" s="6" t="s">
        <v>459</v>
      </c>
      <c r="Z29" s="1">
        <v>4</v>
      </c>
      <c r="AA29" s="1">
        <v>3</v>
      </c>
      <c r="AB29" s="7" t="s">
        <v>566</v>
      </c>
      <c r="AC29" s="1" t="s">
        <v>578</v>
      </c>
      <c r="AD29" s="1" t="s">
        <v>573</v>
      </c>
      <c r="AE29" s="1" t="s">
        <v>225</v>
      </c>
      <c r="AF29" s="6"/>
      <c r="AG29" s="6" t="s">
        <v>643</v>
      </c>
      <c r="AH29" s="6" t="s">
        <v>642</v>
      </c>
      <c r="AI29" s="6"/>
      <c r="AJ29" s="20"/>
      <c r="AK29" s="23" cm="1">
        <f t="array" ref="AK29">_xlfn.IFS(AC29="Principles observation",1, AC29="Concept formulation",2, AC29="Proof-of-concept simulation", 3, AC29="Core function validation", 4, AC29="Integration component testing", 5, AC29="Component validation in relevant environment", 6, AC29="Subsystem demonstration in relevant environment", 7, AC29="System demonstration in operational environment", 8, AC29="Production qualification", 9, AC29="Mission-proven operations", 10)</f>
        <v>4</v>
      </c>
      <c r="AL29" s="23" cm="1">
        <f t="array" ref="AL29">_xlfn.IFS(AD29="Assistive GenAI", 1, AD29="GenAI-led with human oversight", 2, AD29="Autonomous process learning", 3)</f>
        <v>1</v>
      </c>
      <c r="AM29" s="20"/>
      <c r="AN29" s="20"/>
      <c r="AO29" s="20"/>
      <c r="AP29" s="20"/>
      <c r="AQ29" s="20"/>
      <c r="AR29" s="20"/>
      <c r="AS29" s="20"/>
      <c r="AT29" s="20"/>
      <c r="AU29" s="20"/>
      <c r="AV29" s="20"/>
      <c r="AW29" s="20"/>
      <c r="AX29" s="20"/>
      <c r="AY29" s="20"/>
      <c r="AZ29" s="20"/>
      <c r="BA29" s="20"/>
      <c r="BB29" s="20"/>
      <c r="BC29" s="20"/>
      <c r="BD29" s="20"/>
      <c r="BE29" s="20"/>
      <c r="BF29" s="20"/>
      <c r="BG29" s="20"/>
      <c r="BH29" s="20"/>
      <c r="BI29" s="20"/>
      <c r="BJ29" s="20"/>
      <c r="BK29" s="20"/>
      <c r="BL29" s="20"/>
      <c r="BM29" s="20"/>
      <c r="BN29" s="20"/>
      <c r="BO29" s="20"/>
      <c r="BP29" s="20"/>
      <c r="BQ29" s="20"/>
      <c r="BR29" s="20"/>
      <c r="BS29" s="20"/>
      <c r="BT29" s="20"/>
      <c r="BU29" s="20"/>
      <c r="BV29" s="20"/>
      <c r="BW29" s="20"/>
      <c r="BX29" s="20"/>
      <c r="BY29" s="20"/>
      <c r="BZ29" s="20"/>
      <c r="CA29" s="20"/>
      <c r="CB29" s="20"/>
      <c r="CC29" s="20"/>
      <c r="CD29" s="20"/>
      <c r="CE29" s="20"/>
      <c r="CF29" s="20"/>
      <c r="CG29" s="20"/>
      <c r="CH29" s="20"/>
      <c r="CI29" s="20"/>
      <c r="CJ29" s="20"/>
      <c r="CK29" s="20"/>
      <c r="CL29" s="20"/>
      <c r="CM29" s="20"/>
      <c r="CN29" s="20"/>
      <c r="CO29" s="20"/>
      <c r="CP29" s="20"/>
      <c r="CQ29" s="20"/>
      <c r="CR29" s="20"/>
      <c r="CS29" s="20"/>
      <c r="CT29" s="20"/>
      <c r="CU29" s="20"/>
      <c r="CV29" s="20"/>
      <c r="CW29" s="20"/>
      <c r="CX29" s="20"/>
      <c r="CY29" s="20"/>
      <c r="CZ29" s="20"/>
      <c r="DA29" s="20"/>
      <c r="DB29" s="20"/>
      <c r="DC29" s="20"/>
      <c r="DD29" s="20"/>
      <c r="DE29" s="20"/>
      <c r="DF29" s="20"/>
      <c r="DG29" s="20"/>
      <c r="DH29" s="20"/>
      <c r="DI29" s="20"/>
      <c r="DJ29" s="20"/>
      <c r="DK29" s="20"/>
      <c r="DL29" s="20"/>
      <c r="DM29" s="20"/>
      <c r="DN29" s="20"/>
      <c r="DO29" s="20"/>
      <c r="DP29" s="20"/>
      <c r="DQ29" s="20"/>
      <c r="DR29" s="20"/>
      <c r="DS29" s="20"/>
      <c r="DT29" s="20"/>
      <c r="DU29" s="20"/>
      <c r="DV29" s="20"/>
      <c r="DW29" s="20"/>
      <c r="DX29" s="20"/>
      <c r="DY29" s="20"/>
      <c r="DZ29" s="20"/>
      <c r="EA29" s="20"/>
      <c r="EB29" s="20"/>
      <c r="EC29" s="20"/>
      <c r="ED29" s="20"/>
      <c r="EE29" s="20"/>
      <c r="EF29" s="20"/>
      <c r="EG29" s="20"/>
      <c r="EH29" s="20"/>
      <c r="EI29" s="20"/>
      <c r="EJ29" s="20"/>
      <c r="EK29" s="20"/>
      <c r="EL29" s="20"/>
      <c r="EM29" s="20"/>
      <c r="EN29" s="20"/>
      <c r="EO29" s="20"/>
      <c r="EP29" s="20"/>
      <c r="EQ29" s="20"/>
      <c r="ER29" s="20"/>
      <c r="ES29" s="20"/>
      <c r="ET29" s="20"/>
      <c r="EU29" s="20"/>
      <c r="EV29" s="20"/>
      <c r="EW29" s="20"/>
      <c r="EX29" s="20"/>
      <c r="EY29" s="20"/>
      <c r="EZ29" s="20"/>
      <c r="FA29" s="20"/>
      <c r="FB29" s="20"/>
      <c r="FC29" s="20"/>
      <c r="FD29" s="20"/>
      <c r="FE29" s="20"/>
      <c r="FF29" s="20"/>
      <c r="FG29" s="20"/>
      <c r="FH29" s="20"/>
      <c r="FI29" s="20"/>
      <c r="FJ29" s="20"/>
      <c r="FK29" s="20"/>
      <c r="FL29" s="20"/>
      <c r="FM29" s="20"/>
      <c r="FN29" s="20"/>
      <c r="FO29" s="20"/>
      <c r="FP29" s="20"/>
      <c r="FQ29" s="20"/>
      <c r="FR29" s="20"/>
      <c r="FS29" s="20"/>
      <c r="FT29" s="20"/>
      <c r="FU29" s="20"/>
      <c r="FV29" s="20"/>
      <c r="FW29" s="20"/>
      <c r="FX29" s="20"/>
      <c r="FY29" s="20"/>
      <c r="FZ29" s="20"/>
      <c r="GA29" s="20"/>
      <c r="GB29" s="20"/>
      <c r="GC29" s="20"/>
      <c r="GD29" s="20"/>
      <c r="GE29" s="20"/>
      <c r="GF29" s="20"/>
      <c r="GG29" s="20"/>
      <c r="GH29" s="20"/>
      <c r="GI29" s="20"/>
      <c r="GJ29" s="20"/>
      <c r="GK29" s="20"/>
      <c r="GL29" s="20"/>
      <c r="GM29" s="20"/>
      <c r="GN29" s="20"/>
      <c r="GO29" s="20"/>
      <c r="GP29" s="20"/>
      <c r="GQ29" s="20"/>
      <c r="GR29" s="20"/>
      <c r="GS29" s="20"/>
      <c r="GT29" s="20"/>
      <c r="GU29" s="20"/>
      <c r="GV29" s="20"/>
      <c r="GW29" s="20"/>
      <c r="GX29" s="20"/>
      <c r="GY29" s="20"/>
      <c r="GZ29" s="20"/>
      <c r="HA29" s="20"/>
      <c r="HB29" s="20"/>
      <c r="HC29" s="20"/>
      <c r="HD29" s="20"/>
      <c r="HE29" s="20"/>
      <c r="HF29" s="20"/>
      <c r="HG29" s="20"/>
      <c r="HH29" s="20"/>
      <c r="HI29" s="20"/>
      <c r="HJ29" s="20"/>
      <c r="HK29" s="20"/>
      <c r="HL29" s="20"/>
      <c r="HM29" s="20"/>
    </row>
    <row r="30" spans="1:221" s="11" customFormat="1" ht="55.95" customHeight="1" x14ac:dyDescent="0.3">
      <c r="A30" s="1">
        <v>31</v>
      </c>
      <c r="B30" s="6" t="s">
        <v>13</v>
      </c>
      <c r="C30" s="10" t="s">
        <v>309</v>
      </c>
      <c r="D30" s="7">
        <v>2025</v>
      </c>
      <c r="E30" s="13" t="s">
        <v>59</v>
      </c>
      <c r="F30" s="7">
        <v>4</v>
      </c>
      <c r="G30" s="1" t="str">
        <f t="shared" si="0"/>
        <v>Liao X.</v>
      </c>
      <c r="H30" s="15" t="s">
        <v>350</v>
      </c>
      <c r="I30" s="15" t="s">
        <v>83</v>
      </c>
      <c r="J30" s="1" t="str">
        <f t="shared" si="2"/>
        <v>ENG</v>
      </c>
      <c r="K30" s="1" t="s">
        <v>222</v>
      </c>
      <c r="L30" s="1" t="s">
        <v>402</v>
      </c>
      <c r="M30" s="1" t="s">
        <v>425</v>
      </c>
      <c r="N30" s="1" t="s">
        <v>383</v>
      </c>
      <c r="O30" s="1" t="s">
        <v>460</v>
      </c>
      <c r="P30" s="1" t="s">
        <v>457</v>
      </c>
      <c r="Q30" s="1"/>
      <c r="R30" s="1" t="s">
        <v>433</v>
      </c>
      <c r="S30" s="17" t="s">
        <v>1859</v>
      </c>
      <c r="T30" s="6" t="s">
        <v>1860</v>
      </c>
      <c r="U30" s="6"/>
      <c r="V30" s="6" t="s">
        <v>1861</v>
      </c>
      <c r="W30" s="15" t="s">
        <v>461</v>
      </c>
      <c r="X30" s="6" t="s">
        <v>1862</v>
      </c>
      <c r="Y30" s="6" t="s">
        <v>462</v>
      </c>
      <c r="Z30" s="1">
        <v>4</v>
      </c>
      <c r="AA30" s="1">
        <v>3</v>
      </c>
      <c r="AB30" s="7" t="s">
        <v>566</v>
      </c>
      <c r="AC30" s="1" t="s">
        <v>578</v>
      </c>
      <c r="AD30" s="1" t="s">
        <v>573</v>
      </c>
      <c r="AE30" s="1" t="s">
        <v>225</v>
      </c>
      <c r="AF30" s="6"/>
      <c r="AG30" s="6" t="s">
        <v>644</v>
      </c>
      <c r="AH30" s="6" t="s">
        <v>645</v>
      </c>
      <c r="AI30" s="6"/>
      <c r="AJ30" s="20"/>
      <c r="AK30" s="23" cm="1">
        <f t="array" ref="AK30">_xlfn.IFS(AC30="Principles observation",1, AC30="Concept formulation",2, AC30="Proof-of-concept simulation", 3, AC30="Core function validation", 4, AC30="Integration component testing", 5, AC30="Component validation in relevant environment", 6, AC30="Subsystem demonstration in relevant environment", 7, AC30="System demonstration in operational environment", 8, AC30="Production qualification", 9, AC30="Mission-proven operations", 10)</f>
        <v>4</v>
      </c>
      <c r="AL30" s="23" cm="1">
        <f t="array" ref="AL30">_xlfn.IFS(AD30="Assistive GenAI", 1, AD30="GenAI-led with human oversight", 2, AD30="Autonomous process learning", 3)</f>
        <v>1</v>
      </c>
      <c r="AM30" s="20"/>
      <c r="AN30" s="20"/>
      <c r="AO30" s="20"/>
      <c r="AP30" s="20"/>
      <c r="AQ30" s="20"/>
      <c r="AR30" s="20"/>
      <c r="AS30" s="20"/>
      <c r="AT30" s="20"/>
      <c r="AU30" s="20"/>
      <c r="AV30" s="20"/>
      <c r="AW30" s="20"/>
      <c r="AX30" s="20"/>
      <c r="AY30" s="20"/>
      <c r="AZ30" s="20"/>
      <c r="BA30" s="20"/>
      <c r="BB30" s="20"/>
      <c r="BC30" s="20"/>
      <c r="BD30" s="20"/>
      <c r="BE30" s="20"/>
      <c r="BF30" s="20"/>
      <c r="BG30" s="20"/>
      <c r="BH30" s="20"/>
      <c r="BI30" s="20"/>
      <c r="BJ30" s="20"/>
      <c r="BK30" s="20"/>
      <c r="BL30" s="20"/>
      <c r="BM30" s="20"/>
      <c r="BN30" s="20"/>
      <c r="BO30" s="20"/>
      <c r="BP30" s="20"/>
      <c r="BQ30" s="20"/>
      <c r="BR30" s="20"/>
      <c r="BS30" s="20"/>
      <c r="BT30" s="20"/>
      <c r="BU30" s="20"/>
      <c r="BV30" s="20"/>
      <c r="BW30" s="20"/>
      <c r="BX30" s="20"/>
      <c r="BY30" s="20"/>
      <c r="BZ30" s="20"/>
      <c r="CA30" s="20"/>
      <c r="CB30" s="20"/>
      <c r="CC30" s="20"/>
      <c r="CD30" s="20"/>
      <c r="CE30" s="20"/>
      <c r="CF30" s="20"/>
      <c r="CG30" s="20"/>
      <c r="CH30" s="20"/>
      <c r="CI30" s="20"/>
      <c r="CJ30" s="20"/>
      <c r="CK30" s="20"/>
      <c r="CL30" s="20"/>
      <c r="CM30" s="20"/>
      <c r="CN30" s="20"/>
      <c r="CO30" s="20"/>
      <c r="CP30" s="20"/>
      <c r="CQ30" s="20"/>
      <c r="CR30" s="20"/>
      <c r="CS30" s="20"/>
      <c r="CT30" s="20"/>
      <c r="CU30" s="20"/>
      <c r="CV30" s="20"/>
      <c r="CW30" s="20"/>
      <c r="CX30" s="20"/>
      <c r="CY30" s="20"/>
      <c r="CZ30" s="20"/>
      <c r="DA30" s="20"/>
      <c r="DB30" s="20"/>
      <c r="DC30" s="20"/>
      <c r="DD30" s="20"/>
      <c r="DE30" s="20"/>
      <c r="DF30" s="20"/>
      <c r="DG30" s="20"/>
      <c r="DH30" s="20"/>
      <c r="DI30" s="20"/>
      <c r="DJ30" s="20"/>
      <c r="DK30" s="20"/>
      <c r="DL30" s="20"/>
      <c r="DM30" s="20"/>
      <c r="DN30" s="20"/>
      <c r="DO30" s="20"/>
      <c r="DP30" s="20"/>
      <c r="DQ30" s="20"/>
      <c r="DR30" s="20"/>
      <c r="DS30" s="20"/>
      <c r="DT30" s="20"/>
      <c r="DU30" s="20"/>
      <c r="DV30" s="20"/>
      <c r="DW30" s="20"/>
      <c r="DX30" s="20"/>
      <c r="DY30" s="20"/>
      <c r="DZ30" s="20"/>
      <c r="EA30" s="20"/>
      <c r="EB30" s="20"/>
      <c r="EC30" s="20"/>
      <c r="ED30" s="20"/>
      <c r="EE30" s="20"/>
      <c r="EF30" s="20"/>
      <c r="EG30" s="20"/>
      <c r="EH30" s="20"/>
      <c r="EI30" s="20"/>
      <c r="EJ30" s="20"/>
      <c r="EK30" s="20"/>
      <c r="EL30" s="20"/>
      <c r="EM30" s="20"/>
      <c r="EN30" s="20"/>
      <c r="EO30" s="20"/>
      <c r="EP30" s="20"/>
      <c r="EQ30" s="20"/>
      <c r="ER30" s="20"/>
      <c r="ES30" s="20"/>
      <c r="ET30" s="20"/>
      <c r="EU30" s="20"/>
      <c r="EV30" s="20"/>
      <c r="EW30" s="20"/>
      <c r="EX30" s="20"/>
      <c r="EY30" s="20"/>
      <c r="EZ30" s="20"/>
      <c r="FA30" s="20"/>
      <c r="FB30" s="20"/>
      <c r="FC30" s="20"/>
      <c r="FD30" s="20"/>
      <c r="FE30" s="20"/>
      <c r="FF30" s="20"/>
      <c r="FG30" s="20"/>
      <c r="FH30" s="20"/>
      <c r="FI30" s="20"/>
      <c r="FJ30" s="20"/>
      <c r="FK30" s="20"/>
      <c r="FL30" s="20"/>
      <c r="FM30" s="20"/>
      <c r="FN30" s="20"/>
      <c r="FO30" s="20"/>
      <c r="FP30" s="20"/>
      <c r="FQ30" s="20"/>
      <c r="FR30" s="20"/>
      <c r="FS30" s="20"/>
      <c r="FT30" s="20"/>
      <c r="FU30" s="20"/>
      <c r="FV30" s="20"/>
      <c r="FW30" s="20"/>
      <c r="FX30" s="20"/>
      <c r="FY30" s="20"/>
      <c r="FZ30" s="20"/>
      <c r="GA30" s="20"/>
      <c r="GB30" s="20"/>
      <c r="GC30" s="20"/>
      <c r="GD30" s="20"/>
      <c r="GE30" s="20"/>
      <c r="GF30" s="20"/>
      <c r="GG30" s="20"/>
      <c r="GH30" s="20"/>
      <c r="GI30" s="20"/>
      <c r="GJ30" s="20"/>
      <c r="GK30" s="20"/>
      <c r="GL30" s="20"/>
      <c r="GM30" s="20"/>
      <c r="GN30" s="20"/>
      <c r="GO30" s="20"/>
      <c r="GP30" s="20"/>
      <c r="GQ30" s="20"/>
      <c r="GR30" s="20"/>
      <c r="GS30" s="20"/>
      <c r="GT30" s="20"/>
      <c r="GU30" s="20"/>
      <c r="GV30" s="20"/>
      <c r="GW30" s="20"/>
      <c r="GX30" s="20"/>
      <c r="GY30" s="20"/>
      <c r="GZ30" s="20"/>
      <c r="HA30" s="20"/>
      <c r="HB30" s="20"/>
      <c r="HC30" s="20"/>
      <c r="HD30" s="20"/>
      <c r="HE30" s="20"/>
      <c r="HF30" s="20"/>
      <c r="HG30" s="20"/>
      <c r="HH30" s="20"/>
      <c r="HI30" s="20"/>
      <c r="HJ30" s="20"/>
      <c r="HK30" s="20"/>
      <c r="HL30" s="20"/>
      <c r="HM30" s="20"/>
    </row>
    <row r="31" spans="1:221" s="11" customFormat="1" ht="55.95" customHeight="1" x14ac:dyDescent="0.3">
      <c r="A31" s="1">
        <v>32</v>
      </c>
      <c r="B31" s="6" t="s">
        <v>33</v>
      </c>
      <c r="C31" s="10" t="s">
        <v>270</v>
      </c>
      <c r="D31" s="7">
        <v>2025</v>
      </c>
      <c r="E31" s="13" t="s">
        <v>58</v>
      </c>
      <c r="F31" s="7">
        <v>3</v>
      </c>
      <c r="G31" s="1" t="str">
        <f t="shared" si="0"/>
        <v>Jeon J.</v>
      </c>
      <c r="H31" s="15" t="s">
        <v>191</v>
      </c>
      <c r="I31" s="15" t="s">
        <v>104</v>
      </c>
      <c r="J31" s="1" t="str">
        <f t="shared" si="2"/>
        <v>ENG</v>
      </c>
      <c r="K31" s="1" t="s">
        <v>222</v>
      </c>
      <c r="L31" s="1" t="s">
        <v>402</v>
      </c>
      <c r="M31" s="1" t="s">
        <v>425</v>
      </c>
      <c r="N31" s="1" t="s">
        <v>383</v>
      </c>
      <c r="O31" s="1" t="s">
        <v>454</v>
      </c>
      <c r="P31" s="1" t="s">
        <v>457</v>
      </c>
      <c r="Q31" s="1"/>
      <c r="R31" s="1" t="s">
        <v>423</v>
      </c>
      <c r="S31" s="6" t="s">
        <v>1863</v>
      </c>
      <c r="T31" s="6" t="s">
        <v>1864</v>
      </c>
      <c r="U31" s="6"/>
      <c r="V31" s="6" t="s">
        <v>1865</v>
      </c>
      <c r="W31" s="15" t="s">
        <v>463</v>
      </c>
      <c r="X31" s="6" t="s">
        <v>1866</v>
      </c>
      <c r="Y31" s="6" t="s">
        <v>423</v>
      </c>
      <c r="Z31" s="1">
        <v>4</v>
      </c>
      <c r="AA31" s="1">
        <v>3</v>
      </c>
      <c r="AB31" s="1" t="s">
        <v>610</v>
      </c>
      <c r="AC31" s="1" t="s">
        <v>647</v>
      </c>
      <c r="AD31" s="1" t="s">
        <v>573</v>
      </c>
      <c r="AE31" s="1" t="s">
        <v>225</v>
      </c>
      <c r="AF31" s="6"/>
      <c r="AG31" s="6" t="s">
        <v>646</v>
      </c>
      <c r="AH31" s="6" t="s">
        <v>648</v>
      </c>
      <c r="AI31" s="6"/>
      <c r="AJ31" s="20"/>
      <c r="AK31" s="23" cm="1">
        <f t="array" ref="AK31">_xlfn.IFS(AC31="Principles observation",1, AC31="Concept formulation",2, AC31="Proof-of-concept simulation", 3, AC31="Core function validation", 4, AC31="Integration component testing", 5, AC31="Component validation in relevant environment", 6, AC31="Subsystem demonstration in relevant environment", 7, AC31="System demonstration in operational environment", 8, AC31="Production qualification", 9, AC31="Mission-proven operations", 10)</f>
        <v>6</v>
      </c>
      <c r="AL31" s="23" cm="1">
        <f t="array" ref="AL31">_xlfn.IFS(AD31="Assistive GenAI", 1, AD31="GenAI-led with human oversight", 2, AD31="Autonomous process learning", 3)</f>
        <v>1</v>
      </c>
      <c r="AM31" s="20"/>
      <c r="AN31" s="20"/>
      <c r="AO31" s="20"/>
      <c r="AP31" s="20"/>
      <c r="AQ31" s="20"/>
      <c r="AR31" s="20"/>
      <c r="AS31" s="20"/>
      <c r="AT31" s="20"/>
      <c r="AU31" s="20"/>
      <c r="AV31" s="20"/>
      <c r="AW31" s="20"/>
      <c r="AX31" s="20"/>
      <c r="AY31" s="20"/>
      <c r="AZ31" s="20"/>
      <c r="BA31" s="20"/>
      <c r="BB31" s="20"/>
      <c r="BC31" s="20"/>
      <c r="BD31" s="20"/>
      <c r="BE31" s="20"/>
      <c r="BF31" s="20"/>
      <c r="BG31" s="20"/>
      <c r="BH31" s="20"/>
      <c r="BI31" s="20"/>
      <c r="BJ31" s="20"/>
      <c r="BK31" s="20"/>
      <c r="BL31" s="20"/>
      <c r="BM31" s="20"/>
      <c r="BN31" s="20"/>
      <c r="BO31" s="20"/>
      <c r="BP31" s="20"/>
      <c r="BQ31" s="20"/>
      <c r="BR31" s="20"/>
      <c r="BS31" s="20"/>
      <c r="BT31" s="20"/>
      <c r="BU31" s="20"/>
      <c r="BV31" s="20"/>
      <c r="BW31" s="20"/>
      <c r="BX31" s="20"/>
      <c r="BY31" s="20"/>
      <c r="BZ31" s="20"/>
      <c r="CA31" s="20"/>
      <c r="CB31" s="20"/>
      <c r="CC31" s="20"/>
      <c r="CD31" s="20"/>
      <c r="CE31" s="20"/>
      <c r="CF31" s="20"/>
      <c r="CG31" s="20"/>
      <c r="CH31" s="20"/>
      <c r="CI31" s="20"/>
      <c r="CJ31" s="20"/>
      <c r="CK31" s="20"/>
      <c r="CL31" s="20"/>
      <c r="CM31" s="20"/>
      <c r="CN31" s="20"/>
      <c r="CO31" s="20"/>
      <c r="CP31" s="20"/>
      <c r="CQ31" s="20"/>
      <c r="CR31" s="20"/>
      <c r="CS31" s="20"/>
      <c r="CT31" s="20"/>
      <c r="CU31" s="20"/>
      <c r="CV31" s="20"/>
      <c r="CW31" s="20"/>
      <c r="CX31" s="20"/>
      <c r="CY31" s="20"/>
      <c r="CZ31" s="20"/>
      <c r="DA31" s="20"/>
      <c r="DB31" s="20"/>
      <c r="DC31" s="20"/>
      <c r="DD31" s="20"/>
      <c r="DE31" s="20"/>
      <c r="DF31" s="20"/>
      <c r="DG31" s="20"/>
      <c r="DH31" s="20"/>
      <c r="DI31" s="20"/>
      <c r="DJ31" s="20"/>
      <c r="DK31" s="20"/>
      <c r="DL31" s="20"/>
      <c r="DM31" s="20"/>
      <c r="DN31" s="20"/>
      <c r="DO31" s="20"/>
      <c r="DP31" s="20"/>
      <c r="DQ31" s="20"/>
      <c r="DR31" s="20"/>
      <c r="DS31" s="20"/>
      <c r="DT31" s="20"/>
      <c r="DU31" s="20"/>
      <c r="DV31" s="20"/>
      <c r="DW31" s="20"/>
      <c r="DX31" s="20"/>
      <c r="DY31" s="20"/>
      <c r="DZ31" s="20"/>
      <c r="EA31" s="20"/>
      <c r="EB31" s="20"/>
      <c r="EC31" s="20"/>
      <c r="ED31" s="20"/>
      <c r="EE31" s="20"/>
      <c r="EF31" s="20"/>
      <c r="EG31" s="20"/>
      <c r="EH31" s="20"/>
      <c r="EI31" s="20"/>
      <c r="EJ31" s="20"/>
      <c r="EK31" s="20"/>
      <c r="EL31" s="20"/>
      <c r="EM31" s="20"/>
      <c r="EN31" s="20"/>
      <c r="EO31" s="20"/>
      <c r="EP31" s="20"/>
      <c r="EQ31" s="20"/>
      <c r="ER31" s="20"/>
      <c r="ES31" s="20"/>
      <c r="ET31" s="20"/>
      <c r="EU31" s="20"/>
      <c r="EV31" s="20"/>
      <c r="EW31" s="20"/>
      <c r="EX31" s="20"/>
      <c r="EY31" s="20"/>
      <c r="EZ31" s="20"/>
      <c r="FA31" s="20"/>
      <c r="FB31" s="20"/>
      <c r="FC31" s="20"/>
      <c r="FD31" s="20"/>
      <c r="FE31" s="20"/>
      <c r="FF31" s="20"/>
      <c r="FG31" s="20"/>
      <c r="FH31" s="20"/>
      <c r="FI31" s="20"/>
      <c r="FJ31" s="20"/>
      <c r="FK31" s="20"/>
      <c r="FL31" s="20"/>
      <c r="FM31" s="20"/>
      <c r="FN31" s="20"/>
      <c r="FO31" s="20"/>
      <c r="FP31" s="20"/>
      <c r="FQ31" s="20"/>
      <c r="FR31" s="20"/>
      <c r="FS31" s="20"/>
      <c r="FT31" s="20"/>
      <c r="FU31" s="20"/>
      <c r="FV31" s="20"/>
      <c r="FW31" s="20"/>
      <c r="FX31" s="20"/>
      <c r="FY31" s="20"/>
      <c r="FZ31" s="20"/>
      <c r="GA31" s="20"/>
      <c r="GB31" s="20"/>
      <c r="GC31" s="20"/>
      <c r="GD31" s="20"/>
      <c r="GE31" s="20"/>
      <c r="GF31" s="20"/>
      <c r="GG31" s="20"/>
      <c r="GH31" s="20"/>
      <c r="GI31" s="20"/>
      <c r="GJ31" s="20"/>
      <c r="GK31" s="20"/>
      <c r="GL31" s="20"/>
      <c r="GM31" s="20"/>
      <c r="GN31" s="20"/>
      <c r="GO31" s="20"/>
      <c r="GP31" s="20"/>
      <c r="GQ31" s="20"/>
      <c r="GR31" s="20"/>
      <c r="GS31" s="20"/>
      <c r="GT31" s="20"/>
      <c r="GU31" s="20"/>
      <c r="GV31" s="20"/>
      <c r="GW31" s="20"/>
      <c r="GX31" s="20"/>
      <c r="GY31" s="20"/>
      <c r="GZ31" s="20"/>
      <c r="HA31" s="20"/>
      <c r="HB31" s="20"/>
      <c r="HC31" s="20"/>
      <c r="HD31" s="20"/>
      <c r="HE31" s="20"/>
      <c r="HF31" s="20"/>
      <c r="HG31" s="20"/>
      <c r="HH31" s="20"/>
      <c r="HI31" s="20"/>
      <c r="HJ31" s="20"/>
      <c r="HK31" s="20"/>
      <c r="HL31" s="20"/>
      <c r="HM31" s="20"/>
    </row>
    <row r="32" spans="1:221" s="11" customFormat="1" ht="55.95" customHeight="1" x14ac:dyDescent="0.3">
      <c r="A32" s="1">
        <v>33</v>
      </c>
      <c r="B32" s="6" t="s">
        <v>32</v>
      </c>
      <c r="C32" s="10" t="s">
        <v>306</v>
      </c>
      <c r="D32" s="7">
        <v>2025</v>
      </c>
      <c r="E32" s="13" t="s">
        <v>59</v>
      </c>
      <c r="F32" s="7">
        <v>3</v>
      </c>
      <c r="G32" s="1" t="str">
        <f t="shared" si="0"/>
        <v>Wen S.</v>
      </c>
      <c r="H32" s="15" t="s">
        <v>177</v>
      </c>
      <c r="I32" s="15" t="s">
        <v>103</v>
      </c>
      <c r="J32" s="1" t="str">
        <f t="shared" si="2"/>
        <v>ENG</v>
      </c>
      <c r="K32" s="1" t="s">
        <v>222</v>
      </c>
      <c r="L32" s="1" t="s">
        <v>402</v>
      </c>
      <c r="M32" s="1" t="s">
        <v>425</v>
      </c>
      <c r="N32" s="1" t="s">
        <v>383</v>
      </c>
      <c r="O32" s="1" t="s">
        <v>460</v>
      </c>
      <c r="P32" s="1" t="s">
        <v>457</v>
      </c>
      <c r="Q32" s="1" t="s">
        <v>464</v>
      </c>
      <c r="R32" s="1" t="s">
        <v>386</v>
      </c>
      <c r="S32" s="6" t="s">
        <v>1867</v>
      </c>
      <c r="T32" s="6" t="s">
        <v>1868</v>
      </c>
      <c r="U32" s="6" t="s">
        <v>1869</v>
      </c>
      <c r="V32" s="6" t="s">
        <v>1870</v>
      </c>
      <c r="W32" s="15" t="s">
        <v>465</v>
      </c>
      <c r="X32" s="6" t="s">
        <v>1871</v>
      </c>
      <c r="Y32" s="6" t="s">
        <v>466</v>
      </c>
      <c r="Z32" s="1">
        <v>4</v>
      </c>
      <c r="AA32" s="1">
        <v>3</v>
      </c>
      <c r="AB32" s="7" t="s">
        <v>566</v>
      </c>
      <c r="AC32" s="1" t="s">
        <v>578</v>
      </c>
      <c r="AD32" s="1" t="s">
        <v>573</v>
      </c>
      <c r="AE32" s="1" t="s">
        <v>225</v>
      </c>
      <c r="AF32" s="6"/>
      <c r="AG32" s="6" t="s">
        <v>649</v>
      </c>
      <c r="AH32" s="6" t="s">
        <v>650</v>
      </c>
      <c r="AI32" s="6"/>
      <c r="AJ32" s="20"/>
      <c r="AK32" s="23" cm="1">
        <f t="array" ref="AK32">_xlfn.IFS(AC32="Principles observation",1, AC32="Concept formulation",2, AC32="Proof-of-concept simulation", 3, AC32="Core function validation", 4, AC32="Integration component testing", 5, AC32="Component validation in relevant environment", 6, AC32="Subsystem demonstration in relevant environment", 7, AC32="System demonstration in operational environment", 8, AC32="Production qualification", 9, AC32="Mission-proven operations", 10)</f>
        <v>4</v>
      </c>
      <c r="AL32" s="23" cm="1">
        <f t="array" ref="AL32">_xlfn.IFS(AD32="Assistive GenAI", 1, AD32="GenAI-led with human oversight", 2, AD32="Autonomous process learning", 3)</f>
        <v>1</v>
      </c>
      <c r="AM32" s="20"/>
      <c r="AN32" s="20"/>
      <c r="AO32" s="20"/>
      <c r="AP32" s="20"/>
      <c r="AQ32" s="20"/>
      <c r="AR32" s="20"/>
      <c r="AS32" s="20"/>
      <c r="AT32" s="20"/>
      <c r="AU32" s="20"/>
      <c r="AV32" s="20"/>
      <c r="AW32" s="20"/>
      <c r="AX32" s="20"/>
      <c r="AY32" s="20"/>
      <c r="AZ32" s="20"/>
      <c r="BA32" s="20"/>
      <c r="BB32" s="20"/>
      <c r="BC32" s="20"/>
      <c r="BD32" s="20"/>
      <c r="BE32" s="20"/>
      <c r="BF32" s="20"/>
      <c r="BG32" s="20"/>
      <c r="BH32" s="20"/>
      <c r="BI32" s="20"/>
      <c r="BJ32" s="20"/>
      <c r="BK32" s="20"/>
      <c r="BL32" s="20"/>
      <c r="BM32" s="20"/>
      <c r="BN32" s="20"/>
      <c r="BO32" s="20"/>
      <c r="BP32" s="20"/>
      <c r="BQ32" s="20"/>
      <c r="BR32" s="20"/>
      <c r="BS32" s="20"/>
      <c r="BT32" s="20"/>
      <c r="BU32" s="20"/>
      <c r="BV32" s="20"/>
      <c r="BW32" s="20"/>
      <c r="BX32" s="20"/>
      <c r="BY32" s="20"/>
      <c r="BZ32" s="20"/>
      <c r="CA32" s="20"/>
      <c r="CB32" s="20"/>
      <c r="CC32" s="20"/>
      <c r="CD32" s="20"/>
      <c r="CE32" s="20"/>
      <c r="CF32" s="20"/>
      <c r="CG32" s="20"/>
      <c r="CH32" s="20"/>
      <c r="CI32" s="20"/>
      <c r="CJ32" s="20"/>
      <c r="CK32" s="20"/>
      <c r="CL32" s="20"/>
      <c r="CM32" s="20"/>
      <c r="CN32" s="20"/>
      <c r="CO32" s="20"/>
      <c r="CP32" s="20"/>
      <c r="CQ32" s="20"/>
      <c r="CR32" s="20"/>
      <c r="CS32" s="20"/>
      <c r="CT32" s="20"/>
      <c r="CU32" s="20"/>
      <c r="CV32" s="20"/>
      <c r="CW32" s="20"/>
      <c r="CX32" s="20"/>
      <c r="CY32" s="20"/>
      <c r="CZ32" s="20"/>
      <c r="DA32" s="20"/>
      <c r="DB32" s="20"/>
      <c r="DC32" s="20"/>
      <c r="DD32" s="20"/>
      <c r="DE32" s="20"/>
      <c r="DF32" s="20"/>
      <c r="DG32" s="20"/>
      <c r="DH32" s="20"/>
      <c r="DI32" s="20"/>
      <c r="DJ32" s="20"/>
      <c r="DK32" s="20"/>
      <c r="DL32" s="20"/>
      <c r="DM32" s="20"/>
      <c r="DN32" s="20"/>
      <c r="DO32" s="20"/>
      <c r="DP32" s="20"/>
      <c r="DQ32" s="20"/>
      <c r="DR32" s="20"/>
      <c r="DS32" s="20"/>
      <c r="DT32" s="20"/>
      <c r="DU32" s="20"/>
      <c r="DV32" s="20"/>
      <c r="DW32" s="20"/>
      <c r="DX32" s="20"/>
      <c r="DY32" s="20"/>
      <c r="DZ32" s="20"/>
      <c r="EA32" s="20"/>
      <c r="EB32" s="20"/>
      <c r="EC32" s="20"/>
      <c r="ED32" s="20"/>
      <c r="EE32" s="20"/>
      <c r="EF32" s="20"/>
      <c r="EG32" s="20"/>
      <c r="EH32" s="20"/>
      <c r="EI32" s="20"/>
      <c r="EJ32" s="20"/>
      <c r="EK32" s="20"/>
      <c r="EL32" s="20"/>
      <c r="EM32" s="20"/>
      <c r="EN32" s="20"/>
      <c r="EO32" s="20"/>
      <c r="EP32" s="20"/>
      <c r="EQ32" s="20"/>
      <c r="ER32" s="20"/>
      <c r="ES32" s="20"/>
      <c r="ET32" s="20"/>
      <c r="EU32" s="20"/>
      <c r="EV32" s="20"/>
      <c r="EW32" s="20"/>
      <c r="EX32" s="20"/>
      <c r="EY32" s="20"/>
      <c r="EZ32" s="20"/>
      <c r="FA32" s="20"/>
      <c r="FB32" s="20"/>
      <c r="FC32" s="20"/>
      <c r="FD32" s="20"/>
      <c r="FE32" s="20"/>
      <c r="FF32" s="20"/>
      <c r="FG32" s="20"/>
      <c r="FH32" s="20"/>
      <c r="FI32" s="20"/>
      <c r="FJ32" s="20"/>
      <c r="FK32" s="20"/>
      <c r="FL32" s="20"/>
      <c r="FM32" s="20"/>
      <c r="FN32" s="20"/>
      <c r="FO32" s="20"/>
      <c r="FP32" s="20"/>
      <c r="FQ32" s="20"/>
      <c r="FR32" s="20"/>
      <c r="FS32" s="20"/>
      <c r="FT32" s="20"/>
      <c r="FU32" s="20"/>
      <c r="FV32" s="20"/>
      <c r="FW32" s="20"/>
      <c r="FX32" s="20"/>
      <c r="FY32" s="20"/>
      <c r="FZ32" s="20"/>
      <c r="GA32" s="20"/>
      <c r="GB32" s="20"/>
      <c r="GC32" s="20"/>
      <c r="GD32" s="20"/>
      <c r="GE32" s="20"/>
      <c r="GF32" s="20"/>
      <c r="GG32" s="20"/>
      <c r="GH32" s="20"/>
      <c r="GI32" s="20"/>
      <c r="GJ32" s="20"/>
      <c r="GK32" s="20"/>
      <c r="GL32" s="20"/>
      <c r="GM32" s="20"/>
      <c r="GN32" s="20"/>
      <c r="GO32" s="20"/>
      <c r="GP32" s="20"/>
      <c r="GQ32" s="20"/>
      <c r="GR32" s="20"/>
      <c r="GS32" s="20"/>
      <c r="GT32" s="20"/>
      <c r="GU32" s="20"/>
      <c r="GV32" s="20"/>
      <c r="GW32" s="20"/>
      <c r="GX32" s="20"/>
      <c r="GY32" s="20"/>
      <c r="GZ32" s="20"/>
      <c r="HA32" s="20"/>
      <c r="HB32" s="20"/>
      <c r="HC32" s="20"/>
      <c r="HD32" s="20"/>
      <c r="HE32" s="20"/>
      <c r="HF32" s="20"/>
      <c r="HG32" s="20"/>
      <c r="HH32" s="20"/>
      <c r="HI32" s="20"/>
      <c r="HJ32" s="20"/>
      <c r="HK32" s="20"/>
      <c r="HL32" s="20"/>
      <c r="HM32" s="20"/>
    </row>
    <row r="33" spans="1:221" s="11" customFormat="1" ht="55.95" customHeight="1" x14ac:dyDescent="0.3">
      <c r="A33" s="1">
        <v>34</v>
      </c>
      <c r="B33" s="6" t="s">
        <v>36</v>
      </c>
      <c r="C33" s="10" t="s">
        <v>255</v>
      </c>
      <c r="D33" s="7">
        <v>2025</v>
      </c>
      <c r="E33" s="13" t="s">
        <v>317</v>
      </c>
      <c r="F33" s="7">
        <v>2</v>
      </c>
      <c r="G33" s="1" t="str">
        <f t="shared" si="0"/>
        <v>Liu C.</v>
      </c>
      <c r="H33" s="15" t="s">
        <v>193</v>
      </c>
      <c r="I33" s="15" t="s">
        <v>107</v>
      </c>
      <c r="J33" s="1" t="str">
        <f t="shared" si="2"/>
        <v>ENG</v>
      </c>
      <c r="K33" s="1" t="s">
        <v>222</v>
      </c>
      <c r="L33" s="1" t="s">
        <v>402</v>
      </c>
      <c r="M33" s="1" t="s">
        <v>425</v>
      </c>
      <c r="N33" s="1" t="s">
        <v>383</v>
      </c>
      <c r="O33" s="1" t="s">
        <v>411</v>
      </c>
      <c r="P33" s="1" t="s">
        <v>398</v>
      </c>
      <c r="Q33" s="1" t="s">
        <v>467</v>
      </c>
      <c r="R33" s="1" t="s">
        <v>423</v>
      </c>
      <c r="S33" s="6" t="s">
        <v>1872</v>
      </c>
      <c r="T33" s="6" t="s">
        <v>1873</v>
      </c>
      <c r="U33" s="6" t="s">
        <v>1874</v>
      </c>
      <c r="V33" s="6" t="s">
        <v>1875</v>
      </c>
      <c r="W33" s="15" t="s">
        <v>468</v>
      </c>
      <c r="X33" s="6" t="s">
        <v>1876</v>
      </c>
      <c r="Y33" s="6" t="s">
        <v>469</v>
      </c>
      <c r="Z33" s="1">
        <v>4</v>
      </c>
      <c r="AA33" s="1">
        <v>3</v>
      </c>
      <c r="AB33" s="7" t="s">
        <v>566</v>
      </c>
      <c r="AC33" s="1" t="s">
        <v>590</v>
      </c>
      <c r="AD33" s="1" t="s">
        <v>575</v>
      </c>
      <c r="AE33" s="1" t="s">
        <v>225</v>
      </c>
      <c r="AF33" s="6"/>
      <c r="AG33" s="6" t="s">
        <v>744</v>
      </c>
      <c r="AH33" s="6" t="s">
        <v>745</v>
      </c>
      <c r="AI33" s="6"/>
      <c r="AJ33" s="20"/>
      <c r="AK33" s="23" cm="1">
        <f t="array" ref="AK33">_xlfn.IFS(AC33="Principles observation",1, AC33="Concept formulation",2, AC33="Proof-of-concept simulation", 3, AC33="Core function validation", 4, AC33="Integration component testing", 5, AC33="Component validation in relevant environment", 6, AC33="Subsystem demonstration in relevant environment", 7, AC33="System demonstration in operational environment", 8, AC33="Production qualification", 9, AC33="Mission-proven operations", 10)</f>
        <v>5</v>
      </c>
      <c r="AL33" s="23" cm="1">
        <f t="array" ref="AL33">_xlfn.IFS(AD33="Assistive GenAI", 1, AD33="GenAI-led with human oversight", 2, AD33="Autonomous process learning", 3)</f>
        <v>3</v>
      </c>
      <c r="AM33" s="20"/>
      <c r="AN33" s="20"/>
      <c r="AO33" s="20"/>
      <c r="AP33" s="20"/>
      <c r="AQ33" s="20"/>
      <c r="AR33" s="20"/>
      <c r="AS33" s="20"/>
      <c r="AT33" s="20"/>
      <c r="AU33" s="20"/>
      <c r="AV33" s="20"/>
      <c r="AW33" s="20"/>
      <c r="AX33" s="20"/>
      <c r="AY33" s="20"/>
      <c r="AZ33" s="20"/>
      <c r="BA33" s="20"/>
      <c r="BB33" s="20"/>
      <c r="BC33" s="20"/>
      <c r="BD33" s="20"/>
      <c r="BE33" s="20"/>
      <c r="BF33" s="20"/>
      <c r="BG33" s="20"/>
      <c r="BH33" s="20"/>
      <c r="BI33" s="20"/>
      <c r="BJ33" s="20"/>
      <c r="BK33" s="20"/>
      <c r="BL33" s="20"/>
      <c r="BM33" s="20"/>
      <c r="BN33" s="20"/>
      <c r="BO33" s="20"/>
      <c r="BP33" s="20"/>
      <c r="BQ33" s="20"/>
      <c r="BR33" s="20"/>
      <c r="BS33" s="20"/>
      <c r="BT33" s="20"/>
      <c r="BU33" s="20"/>
      <c r="BV33" s="20"/>
      <c r="BW33" s="20"/>
      <c r="BX33" s="20"/>
      <c r="BY33" s="20"/>
      <c r="BZ33" s="20"/>
      <c r="CA33" s="20"/>
      <c r="CB33" s="20"/>
      <c r="CC33" s="20"/>
      <c r="CD33" s="20"/>
      <c r="CE33" s="20"/>
      <c r="CF33" s="20"/>
      <c r="CG33" s="20"/>
      <c r="CH33" s="20"/>
      <c r="CI33" s="20"/>
      <c r="CJ33" s="20"/>
      <c r="CK33" s="20"/>
      <c r="CL33" s="20"/>
      <c r="CM33" s="20"/>
      <c r="CN33" s="20"/>
      <c r="CO33" s="20"/>
      <c r="CP33" s="20"/>
      <c r="CQ33" s="20"/>
      <c r="CR33" s="20"/>
      <c r="CS33" s="20"/>
      <c r="CT33" s="20"/>
      <c r="CU33" s="20"/>
      <c r="CV33" s="20"/>
      <c r="CW33" s="20"/>
      <c r="CX33" s="20"/>
      <c r="CY33" s="20"/>
      <c r="CZ33" s="20"/>
      <c r="DA33" s="20"/>
      <c r="DB33" s="20"/>
      <c r="DC33" s="20"/>
      <c r="DD33" s="20"/>
      <c r="DE33" s="20"/>
      <c r="DF33" s="20"/>
      <c r="DG33" s="20"/>
      <c r="DH33" s="20"/>
      <c r="DI33" s="20"/>
      <c r="DJ33" s="20"/>
      <c r="DK33" s="20"/>
      <c r="DL33" s="20"/>
      <c r="DM33" s="20"/>
      <c r="DN33" s="20"/>
      <c r="DO33" s="20"/>
      <c r="DP33" s="20"/>
      <c r="DQ33" s="20"/>
      <c r="DR33" s="20"/>
      <c r="DS33" s="20"/>
      <c r="DT33" s="20"/>
      <c r="DU33" s="20"/>
      <c r="DV33" s="20"/>
      <c r="DW33" s="20"/>
      <c r="DX33" s="20"/>
      <c r="DY33" s="20"/>
      <c r="DZ33" s="20"/>
      <c r="EA33" s="20"/>
      <c r="EB33" s="20"/>
      <c r="EC33" s="20"/>
      <c r="ED33" s="20"/>
      <c r="EE33" s="20"/>
      <c r="EF33" s="20"/>
      <c r="EG33" s="20"/>
      <c r="EH33" s="20"/>
      <c r="EI33" s="20"/>
      <c r="EJ33" s="20"/>
      <c r="EK33" s="20"/>
      <c r="EL33" s="20"/>
      <c r="EM33" s="20"/>
      <c r="EN33" s="20"/>
      <c r="EO33" s="20"/>
      <c r="EP33" s="20"/>
      <c r="EQ33" s="20"/>
      <c r="ER33" s="20"/>
      <c r="ES33" s="20"/>
      <c r="ET33" s="20"/>
      <c r="EU33" s="20"/>
      <c r="EV33" s="20"/>
      <c r="EW33" s="20"/>
      <c r="EX33" s="20"/>
      <c r="EY33" s="20"/>
      <c r="EZ33" s="20"/>
      <c r="FA33" s="20"/>
      <c r="FB33" s="20"/>
      <c r="FC33" s="20"/>
      <c r="FD33" s="20"/>
      <c r="FE33" s="20"/>
      <c r="FF33" s="20"/>
      <c r="FG33" s="20"/>
      <c r="FH33" s="20"/>
      <c r="FI33" s="20"/>
      <c r="FJ33" s="20"/>
      <c r="FK33" s="20"/>
      <c r="FL33" s="20"/>
      <c r="FM33" s="20"/>
      <c r="FN33" s="20"/>
      <c r="FO33" s="20"/>
      <c r="FP33" s="20"/>
      <c r="FQ33" s="20"/>
      <c r="FR33" s="20"/>
      <c r="FS33" s="20"/>
      <c r="FT33" s="20"/>
      <c r="FU33" s="20"/>
      <c r="FV33" s="20"/>
      <c r="FW33" s="20"/>
      <c r="FX33" s="20"/>
      <c r="FY33" s="20"/>
      <c r="FZ33" s="20"/>
      <c r="GA33" s="20"/>
      <c r="GB33" s="20"/>
      <c r="GC33" s="20"/>
      <c r="GD33" s="20"/>
      <c r="GE33" s="20"/>
      <c r="GF33" s="20"/>
      <c r="GG33" s="20"/>
      <c r="GH33" s="20"/>
      <c r="GI33" s="20"/>
      <c r="GJ33" s="20"/>
      <c r="GK33" s="20"/>
      <c r="GL33" s="20"/>
      <c r="GM33" s="20"/>
      <c r="GN33" s="20"/>
      <c r="GO33" s="20"/>
      <c r="GP33" s="20"/>
      <c r="GQ33" s="20"/>
      <c r="GR33" s="20"/>
      <c r="GS33" s="20"/>
      <c r="GT33" s="20"/>
      <c r="GU33" s="20"/>
      <c r="GV33" s="20"/>
      <c r="GW33" s="20"/>
      <c r="GX33" s="20"/>
      <c r="GY33" s="20"/>
      <c r="GZ33" s="20"/>
      <c r="HA33" s="20"/>
      <c r="HB33" s="20"/>
      <c r="HC33" s="20"/>
      <c r="HD33" s="20"/>
      <c r="HE33" s="20"/>
      <c r="HF33" s="20"/>
      <c r="HG33" s="20"/>
      <c r="HH33" s="20"/>
      <c r="HI33" s="20"/>
      <c r="HJ33" s="20"/>
      <c r="HK33" s="20"/>
      <c r="HL33" s="20"/>
      <c r="HM33" s="20"/>
    </row>
    <row r="34" spans="1:221" s="11" customFormat="1" ht="55.95" customHeight="1" x14ac:dyDescent="0.3">
      <c r="A34" s="1">
        <v>35</v>
      </c>
      <c r="B34" s="6" t="s">
        <v>23</v>
      </c>
      <c r="C34" s="10" t="s">
        <v>279</v>
      </c>
      <c r="D34" s="7">
        <v>2025</v>
      </c>
      <c r="E34" s="13" t="s">
        <v>56</v>
      </c>
      <c r="F34" s="7">
        <v>2</v>
      </c>
      <c r="G34" s="1" t="str">
        <f t="shared" ref="G34:G65" si="3">IFERROR(LEFT(C34, FIND(";", C34) - 1), C34)</f>
        <v>Wu P.</v>
      </c>
      <c r="H34" s="15" t="s">
        <v>213</v>
      </c>
      <c r="I34" s="15" t="s">
        <v>93</v>
      </c>
      <c r="J34" s="1" t="str">
        <f t="shared" si="2"/>
        <v>ENG</v>
      </c>
      <c r="K34" s="1" t="s">
        <v>222</v>
      </c>
      <c r="L34" s="1" t="s">
        <v>402</v>
      </c>
      <c r="M34" s="1" t="s">
        <v>425</v>
      </c>
      <c r="N34" s="1" t="s">
        <v>383</v>
      </c>
      <c r="O34" s="1" t="s">
        <v>454</v>
      </c>
      <c r="P34" s="1" t="s">
        <v>457</v>
      </c>
      <c r="Q34" s="1"/>
      <c r="R34" s="1" t="s">
        <v>390</v>
      </c>
      <c r="S34" s="6" t="s">
        <v>1877</v>
      </c>
      <c r="T34" s="6" t="s">
        <v>1878</v>
      </c>
      <c r="U34" s="6" t="s">
        <v>1879</v>
      </c>
      <c r="V34" s="6" t="s">
        <v>1880</v>
      </c>
      <c r="W34" s="15" t="s">
        <v>470</v>
      </c>
      <c r="X34" s="6" t="s">
        <v>1881</v>
      </c>
      <c r="Y34" s="6" t="s">
        <v>475</v>
      </c>
      <c r="Z34" s="1">
        <v>4</v>
      </c>
      <c r="AA34" s="1">
        <v>3</v>
      </c>
      <c r="AB34" s="7" t="s">
        <v>566</v>
      </c>
      <c r="AC34" s="1" t="s">
        <v>578</v>
      </c>
      <c r="AD34" s="1" t="s">
        <v>573</v>
      </c>
      <c r="AE34" s="1" t="s">
        <v>225</v>
      </c>
      <c r="AF34" s="6"/>
      <c r="AG34" s="6" t="s">
        <v>651</v>
      </c>
      <c r="AH34" s="6" t="s">
        <v>652</v>
      </c>
      <c r="AI34" s="6"/>
      <c r="AJ34" s="20"/>
      <c r="AK34" s="23" cm="1">
        <f t="array" ref="AK34">_xlfn.IFS(AC34="Principles observation",1, AC34="Concept formulation",2, AC34="Proof-of-concept simulation", 3, AC34="Core function validation", 4, AC34="Integration component testing", 5, AC34="Component validation in relevant environment", 6, AC34="Subsystem demonstration in relevant environment", 7, AC34="System demonstration in operational environment", 8, AC34="Production qualification", 9, AC34="Mission-proven operations", 10)</f>
        <v>4</v>
      </c>
      <c r="AL34" s="23" cm="1">
        <f t="array" ref="AL34">_xlfn.IFS(AD34="Assistive GenAI", 1, AD34="GenAI-led with human oversight", 2, AD34="Autonomous process learning", 3)</f>
        <v>1</v>
      </c>
      <c r="AM34" s="20"/>
      <c r="AN34" s="20"/>
      <c r="AO34" s="20"/>
      <c r="AP34" s="20"/>
      <c r="AQ34" s="20"/>
      <c r="AR34" s="20"/>
      <c r="AS34" s="20"/>
      <c r="AT34" s="20"/>
      <c r="AU34" s="20"/>
      <c r="AV34" s="20"/>
      <c r="AW34" s="20"/>
      <c r="AX34" s="20"/>
      <c r="AY34" s="20"/>
      <c r="AZ34" s="20"/>
      <c r="BA34" s="20"/>
      <c r="BB34" s="20"/>
      <c r="BC34" s="20"/>
      <c r="BD34" s="20"/>
      <c r="BE34" s="20"/>
      <c r="BF34" s="20"/>
      <c r="BG34" s="20"/>
      <c r="BH34" s="20"/>
      <c r="BI34" s="20"/>
      <c r="BJ34" s="20"/>
      <c r="BK34" s="20"/>
      <c r="BL34" s="20"/>
      <c r="BM34" s="20"/>
      <c r="BN34" s="20"/>
      <c r="BO34" s="20"/>
      <c r="BP34" s="20"/>
      <c r="BQ34" s="20"/>
      <c r="BR34" s="20"/>
      <c r="BS34" s="20"/>
      <c r="BT34" s="20"/>
      <c r="BU34" s="20"/>
      <c r="BV34" s="20"/>
      <c r="BW34" s="20"/>
      <c r="BX34" s="20"/>
      <c r="BY34" s="20"/>
      <c r="BZ34" s="20"/>
      <c r="CA34" s="20"/>
      <c r="CB34" s="20"/>
      <c r="CC34" s="20"/>
      <c r="CD34" s="20"/>
      <c r="CE34" s="20"/>
      <c r="CF34" s="20"/>
      <c r="CG34" s="20"/>
      <c r="CH34" s="20"/>
      <c r="CI34" s="20"/>
      <c r="CJ34" s="20"/>
      <c r="CK34" s="20"/>
      <c r="CL34" s="20"/>
      <c r="CM34" s="20"/>
      <c r="CN34" s="20"/>
      <c r="CO34" s="20"/>
      <c r="CP34" s="20"/>
      <c r="CQ34" s="20"/>
      <c r="CR34" s="20"/>
      <c r="CS34" s="20"/>
      <c r="CT34" s="20"/>
      <c r="CU34" s="20"/>
      <c r="CV34" s="20"/>
      <c r="CW34" s="20"/>
      <c r="CX34" s="20"/>
      <c r="CY34" s="20"/>
      <c r="CZ34" s="20"/>
      <c r="DA34" s="20"/>
      <c r="DB34" s="20"/>
      <c r="DC34" s="20"/>
      <c r="DD34" s="20"/>
      <c r="DE34" s="20"/>
      <c r="DF34" s="20"/>
      <c r="DG34" s="20"/>
      <c r="DH34" s="20"/>
      <c r="DI34" s="20"/>
      <c r="DJ34" s="20"/>
      <c r="DK34" s="20"/>
      <c r="DL34" s="20"/>
      <c r="DM34" s="20"/>
      <c r="DN34" s="20"/>
      <c r="DO34" s="20"/>
      <c r="DP34" s="20"/>
      <c r="DQ34" s="20"/>
      <c r="DR34" s="20"/>
      <c r="DS34" s="20"/>
      <c r="DT34" s="20"/>
      <c r="DU34" s="20"/>
      <c r="DV34" s="20"/>
      <c r="DW34" s="20"/>
      <c r="DX34" s="20"/>
      <c r="DY34" s="20"/>
      <c r="DZ34" s="20"/>
      <c r="EA34" s="20"/>
      <c r="EB34" s="20"/>
      <c r="EC34" s="20"/>
      <c r="ED34" s="20"/>
      <c r="EE34" s="20"/>
      <c r="EF34" s="20"/>
      <c r="EG34" s="20"/>
      <c r="EH34" s="20"/>
      <c r="EI34" s="20"/>
      <c r="EJ34" s="20"/>
      <c r="EK34" s="20"/>
      <c r="EL34" s="20"/>
      <c r="EM34" s="20"/>
      <c r="EN34" s="20"/>
      <c r="EO34" s="20"/>
      <c r="EP34" s="20"/>
      <c r="EQ34" s="20"/>
      <c r="ER34" s="20"/>
      <c r="ES34" s="20"/>
      <c r="ET34" s="20"/>
      <c r="EU34" s="20"/>
      <c r="EV34" s="20"/>
      <c r="EW34" s="20"/>
      <c r="EX34" s="20"/>
      <c r="EY34" s="20"/>
      <c r="EZ34" s="20"/>
      <c r="FA34" s="20"/>
      <c r="FB34" s="20"/>
      <c r="FC34" s="20"/>
      <c r="FD34" s="20"/>
      <c r="FE34" s="20"/>
      <c r="FF34" s="20"/>
      <c r="FG34" s="20"/>
      <c r="FH34" s="20"/>
      <c r="FI34" s="20"/>
      <c r="FJ34" s="20"/>
      <c r="FK34" s="20"/>
      <c r="FL34" s="20"/>
      <c r="FM34" s="20"/>
      <c r="FN34" s="20"/>
      <c r="FO34" s="20"/>
      <c r="FP34" s="20"/>
      <c r="FQ34" s="20"/>
      <c r="FR34" s="20"/>
      <c r="FS34" s="20"/>
      <c r="FT34" s="20"/>
      <c r="FU34" s="20"/>
      <c r="FV34" s="20"/>
      <c r="FW34" s="20"/>
      <c r="FX34" s="20"/>
      <c r="FY34" s="20"/>
      <c r="FZ34" s="20"/>
      <c r="GA34" s="20"/>
      <c r="GB34" s="20"/>
      <c r="GC34" s="20"/>
      <c r="GD34" s="20"/>
      <c r="GE34" s="20"/>
      <c r="GF34" s="20"/>
      <c r="GG34" s="20"/>
      <c r="GH34" s="20"/>
      <c r="GI34" s="20"/>
      <c r="GJ34" s="20"/>
      <c r="GK34" s="20"/>
      <c r="GL34" s="20"/>
      <c r="GM34" s="20"/>
      <c r="GN34" s="20"/>
      <c r="GO34" s="20"/>
      <c r="GP34" s="20"/>
      <c r="GQ34" s="20"/>
      <c r="GR34" s="20"/>
      <c r="GS34" s="20"/>
      <c r="GT34" s="20"/>
      <c r="GU34" s="20"/>
      <c r="GV34" s="20"/>
      <c r="GW34" s="20"/>
      <c r="GX34" s="20"/>
      <c r="GY34" s="20"/>
      <c r="GZ34" s="20"/>
      <c r="HA34" s="20"/>
      <c r="HB34" s="20"/>
      <c r="HC34" s="20"/>
      <c r="HD34" s="20"/>
      <c r="HE34" s="20"/>
      <c r="HF34" s="20"/>
      <c r="HG34" s="20"/>
      <c r="HH34" s="20"/>
      <c r="HI34" s="20"/>
      <c r="HJ34" s="20"/>
      <c r="HK34" s="20"/>
      <c r="HL34" s="20"/>
      <c r="HM34" s="20"/>
    </row>
    <row r="35" spans="1:221" s="11" customFormat="1" ht="55.95" customHeight="1" x14ac:dyDescent="0.3">
      <c r="A35" s="1">
        <v>36</v>
      </c>
      <c r="B35" s="6" t="s">
        <v>29</v>
      </c>
      <c r="C35" s="10" t="s">
        <v>290</v>
      </c>
      <c r="D35" s="7">
        <v>2025</v>
      </c>
      <c r="E35" s="13" t="s">
        <v>59</v>
      </c>
      <c r="F35" s="7">
        <v>2</v>
      </c>
      <c r="G35" s="1" t="str">
        <f t="shared" si="3"/>
        <v>Du K.</v>
      </c>
      <c r="H35" s="15" t="s">
        <v>189</v>
      </c>
      <c r="I35" s="15" t="s">
        <v>99</v>
      </c>
      <c r="J35" s="1" t="str">
        <f t="shared" si="2"/>
        <v>ENG</v>
      </c>
      <c r="K35" s="1" t="s">
        <v>222</v>
      </c>
      <c r="L35" s="1" t="s">
        <v>402</v>
      </c>
      <c r="M35" s="1" t="s">
        <v>425</v>
      </c>
      <c r="N35" s="1" t="s">
        <v>471</v>
      </c>
      <c r="O35" s="1" t="s">
        <v>477</v>
      </c>
      <c r="P35" s="1" t="s">
        <v>398</v>
      </c>
      <c r="Q35" s="1"/>
      <c r="R35" s="1" t="s">
        <v>386</v>
      </c>
      <c r="S35" s="6" t="s">
        <v>1882</v>
      </c>
      <c r="T35" s="6" t="s">
        <v>1883</v>
      </c>
      <c r="U35" s="6" t="s">
        <v>1884</v>
      </c>
      <c r="V35" s="6" t="s">
        <v>1885</v>
      </c>
      <c r="W35" s="15" t="s">
        <v>472</v>
      </c>
      <c r="X35" s="6" t="s">
        <v>1886</v>
      </c>
      <c r="Y35" s="6" t="s">
        <v>473</v>
      </c>
      <c r="Z35" s="1">
        <v>4</v>
      </c>
      <c r="AA35" s="1">
        <v>4</v>
      </c>
      <c r="AB35" s="7" t="s">
        <v>566</v>
      </c>
      <c r="AC35" s="1" t="s">
        <v>578</v>
      </c>
      <c r="AD35" s="1" t="s">
        <v>573</v>
      </c>
      <c r="AE35" s="1" t="s">
        <v>225</v>
      </c>
      <c r="AF35" s="6"/>
      <c r="AG35" s="6" t="s">
        <v>653</v>
      </c>
      <c r="AH35" s="6" t="s">
        <v>654</v>
      </c>
      <c r="AI35" s="6"/>
      <c r="AJ35" s="20"/>
      <c r="AK35" s="23" cm="1">
        <f t="array" ref="AK35">_xlfn.IFS(AC35="Principles observation",1, AC35="Concept formulation",2, AC35="Proof-of-concept simulation", 3, AC35="Core function validation", 4, AC35="Integration component testing", 5, AC35="Component validation in relevant environment", 6, AC35="Subsystem demonstration in relevant environment", 7, AC35="System demonstration in operational environment", 8, AC35="Production qualification", 9, AC35="Mission-proven operations", 10)</f>
        <v>4</v>
      </c>
      <c r="AL35" s="23" cm="1">
        <f t="array" ref="AL35">_xlfn.IFS(AD35="Assistive GenAI", 1, AD35="GenAI-led with human oversight", 2, AD35="Autonomous process learning", 3)</f>
        <v>1</v>
      </c>
      <c r="AM35" s="20"/>
      <c r="AN35" s="20"/>
      <c r="AO35" s="20"/>
      <c r="AP35" s="20"/>
      <c r="AQ35" s="20"/>
      <c r="AR35" s="20"/>
      <c r="AS35" s="20"/>
      <c r="AT35" s="20"/>
      <c r="AU35" s="20"/>
      <c r="AV35" s="20"/>
      <c r="AW35" s="20"/>
      <c r="AX35" s="20"/>
      <c r="AY35" s="20"/>
      <c r="AZ35" s="20"/>
      <c r="BA35" s="20"/>
      <c r="BB35" s="20"/>
      <c r="BC35" s="20"/>
      <c r="BD35" s="20"/>
      <c r="BE35" s="20"/>
      <c r="BF35" s="20"/>
      <c r="BG35" s="20"/>
      <c r="BH35" s="20"/>
      <c r="BI35" s="20"/>
      <c r="BJ35" s="20"/>
      <c r="BK35" s="20"/>
      <c r="BL35" s="20"/>
      <c r="BM35" s="20"/>
      <c r="BN35" s="20"/>
      <c r="BO35" s="20"/>
      <c r="BP35" s="20"/>
      <c r="BQ35" s="20"/>
      <c r="BR35" s="20"/>
      <c r="BS35" s="20"/>
      <c r="BT35" s="20"/>
      <c r="BU35" s="20"/>
      <c r="BV35" s="20"/>
      <c r="BW35" s="20"/>
      <c r="BX35" s="20"/>
      <c r="BY35" s="20"/>
      <c r="BZ35" s="20"/>
      <c r="CA35" s="20"/>
      <c r="CB35" s="20"/>
      <c r="CC35" s="20"/>
      <c r="CD35" s="20"/>
      <c r="CE35" s="20"/>
      <c r="CF35" s="20"/>
      <c r="CG35" s="20"/>
      <c r="CH35" s="20"/>
      <c r="CI35" s="20"/>
      <c r="CJ35" s="20"/>
      <c r="CK35" s="20"/>
      <c r="CL35" s="20"/>
      <c r="CM35" s="20"/>
      <c r="CN35" s="20"/>
      <c r="CO35" s="20"/>
      <c r="CP35" s="20"/>
      <c r="CQ35" s="20"/>
      <c r="CR35" s="20"/>
      <c r="CS35" s="20"/>
      <c r="CT35" s="20"/>
      <c r="CU35" s="20"/>
      <c r="CV35" s="20"/>
      <c r="CW35" s="20"/>
      <c r="CX35" s="20"/>
      <c r="CY35" s="20"/>
      <c r="CZ35" s="20"/>
      <c r="DA35" s="20"/>
      <c r="DB35" s="20"/>
      <c r="DC35" s="20"/>
      <c r="DD35" s="20"/>
      <c r="DE35" s="20"/>
      <c r="DF35" s="20"/>
      <c r="DG35" s="20"/>
      <c r="DH35" s="20"/>
      <c r="DI35" s="20"/>
      <c r="DJ35" s="20"/>
      <c r="DK35" s="20"/>
      <c r="DL35" s="20"/>
      <c r="DM35" s="20"/>
      <c r="DN35" s="20"/>
      <c r="DO35" s="20"/>
      <c r="DP35" s="20"/>
      <c r="DQ35" s="20"/>
      <c r="DR35" s="20"/>
      <c r="DS35" s="20"/>
      <c r="DT35" s="20"/>
      <c r="DU35" s="20"/>
      <c r="DV35" s="20"/>
      <c r="DW35" s="20"/>
      <c r="DX35" s="20"/>
      <c r="DY35" s="20"/>
      <c r="DZ35" s="20"/>
      <c r="EA35" s="20"/>
      <c r="EB35" s="20"/>
      <c r="EC35" s="20"/>
      <c r="ED35" s="20"/>
      <c r="EE35" s="20"/>
      <c r="EF35" s="20"/>
      <c r="EG35" s="20"/>
      <c r="EH35" s="20"/>
      <c r="EI35" s="20"/>
      <c r="EJ35" s="20"/>
      <c r="EK35" s="20"/>
      <c r="EL35" s="20"/>
      <c r="EM35" s="20"/>
      <c r="EN35" s="20"/>
      <c r="EO35" s="20"/>
      <c r="EP35" s="20"/>
      <c r="EQ35" s="20"/>
      <c r="ER35" s="20"/>
      <c r="ES35" s="20"/>
      <c r="ET35" s="20"/>
      <c r="EU35" s="20"/>
      <c r="EV35" s="20"/>
      <c r="EW35" s="20"/>
      <c r="EX35" s="20"/>
      <c r="EY35" s="20"/>
      <c r="EZ35" s="20"/>
      <c r="FA35" s="20"/>
      <c r="FB35" s="20"/>
      <c r="FC35" s="20"/>
      <c r="FD35" s="20"/>
      <c r="FE35" s="20"/>
      <c r="FF35" s="20"/>
      <c r="FG35" s="20"/>
      <c r="FH35" s="20"/>
      <c r="FI35" s="20"/>
      <c r="FJ35" s="20"/>
      <c r="FK35" s="20"/>
      <c r="FL35" s="20"/>
      <c r="FM35" s="20"/>
      <c r="FN35" s="20"/>
      <c r="FO35" s="20"/>
      <c r="FP35" s="20"/>
      <c r="FQ35" s="20"/>
      <c r="FR35" s="20"/>
      <c r="FS35" s="20"/>
      <c r="FT35" s="20"/>
      <c r="FU35" s="20"/>
      <c r="FV35" s="20"/>
      <c r="FW35" s="20"/>
      <c r="FX35" s="20"/>
      <c r="FY35" s="20"/>
      <c r="FZ35" s="20"/>
      <c r="GA35" s="20"/>
      <c r="GB35" s="20"/>
      <c r="GC35" s="20"/>
      <c r="GD35" s="20"/>
      <c r="GE35" s="20"/>
      <c r="GF35" s="20"/>
      <c r="GG35" s="20"/>
      <c r="GH35" s="20"/>
      <c r="GI35" s="20"/>
      <c r="GJ35" s="20"/>
      <c r="GK35" s="20"/>
      <c r="GL35" s="20"/>
      <c r="GM35" s="20"/>
      <c r="GN35" s="20"/>
      <c r="GO35" s="20"/>
      <c r="GP35" s="20"/>
      <c r="GQ35" s="20"/>
      <c r="GR35" s="20"/>
      <c r="GS35" s="20"/>
      <c r="GT35" s="20"/>
      <c r="GU35" s="20"/>
      <c r="GV35" s="20"/>
      <c r="GW35" s="20"/>
      <c r="GX35" s="20"/>
      <c r="GY35" s="20"/>
      <c r="GZ35" s="20"/>
      <c r="HA35" s="20"/>
      <c r="HB35" s="20"/>
      <c r="HC35" s="20"/>
      <c r="HD35" s="20"/>
      <c r="HE35" s="20"/>
      <c r="HF35" s="20"/>
      <c r="HG35" s="20"/>
      <c r="HH35" s="20"/>
      <c r="HI35" s="20"/>
      <c r="HJ35" s="20"/>
      <c r="HK35" s="20"/>
      <c r="HL35" s="20"/>
      <c r="HM35" s="20"/>
    </row>
    <row r="36" spans="1:221" s="11" customFormat="1" ht="55.95" customHeight="1" x14ac:dyDescent="0.3">
      <c r="A36" s="1">
        <v>37</v>
      </c>
      <c r="B36" s="6" t="s">
        <v>35</v>
      </c>
      <c r="C36" s="10" t="s">
        <v>292</v>
      </c>
      <c r="D36" s="7">
        <v>2025</v>
      </c>
      <c r="E36" s="13" t="s">
        <v>59</v>
      </c>
      <c r="F36" s="7">
        <v>2</v>
      </c>
      <c r="G36" s="1" t="str">
        <f t="shared" si="3"/>
        <v>Wan Y.</v>
      </c>
      <c r="H36" s="15" t="s">
        <v>192</v>
      </c>
      <c r="I36" s="15" t="s">
        <v>106</v>
      </c>
      <c r="J36" s="1" t="str">
        <f t="shared" si="2"/>
        <v>ENG</v>
      </c>
      <c r="K36" s="1" t="s">
        <v>222</v>
      </c>
      <c r="L36" s="1" t="s">
        <v>402</v>
      </c>
      <c r="M36" s="1" t="s">
        <v>425</v>
      </c>
      <c r="N36" s="1" t="s">
        <v>224</v>
      </c>
      <c r="O36" s="1" t="s">
        <v>409</v>
      </c>
      <c r="P36" s="1"/>
      <c r="Q36" s="1"/>
      <c r="R36" s="1" t="s">
        <v>386</v>
      </c>
      <c r="S36" s="6" t="s">
        <v>1887</v>
      </c>
      <c r="T36" s="6" t="s">
        <v>1888</v>
      </c>
      <c r="U36" s="6" t="s">
        <v>1889</v>
      </c>
      <c r="V36" s="6" t="s">
        <v>1890</v>
      </c>
      <c r="W36" s="15" t="s">
        <v>474</v>
      </c>
      <c r="X36" s="6" t="s">
        <v>1891</v>
      </c>
      <c r="Y36" s="6" t="s">
        <v>476</v>
      </c>
      <c r="Z36" s="1">
        <v>4</v>
      </c>
      <c r="AA36" s="1">
        <v>3</v>
      </c>
      <c r="AB36" s="7" t="s">
        <v>566</v>
      </c>
      <c r="AC36" s="1" t="s">
        <v>578</v>
      </c>
      <c r="AD36" s="1" t="s">
        <v>573</v>
      </c>
      <c r="AE36" s="1" t="s">
        <v>225</v>
      </c>
      <c r="AF36" s="6"/>
      <c r="AG36" s="6" t="s">
        <v>655</v>
      </c>
      <c r="AH36" s="6" t="s">
        <v>656</v>
      </c>
      <c r="AI36" s="6"/>
      <c r="AJ36" s="20"/>
      <c r="AK36" s="23" cm="1">
        <f t="array" ref="AK36">_xlfn.IFS(AC36="Principles observation",1, AC36="Concept formulation",2, AC36="Proof-of-concept simulation", 3, AC36="Core function validation", 4, AC36="Integration component testing", 5, AC36="Component validation in relevant environment", 6, AC36="Subsystem demonstration in relevant environment", 7, AC36="System demonstration in operational environment", 8, AC36="Production qualification", 9, AC36="Mission-proven operations", 10)</f>
        <v>4</v>
      </c>
      <c r="AL36" s="23" cm="1">
        <f t="array" ref="AL36">_xlfn.IFS(AD36="Assistive GenAI", 1, AD36="GenAI-led with human oversight", 2, AD36="Autonomous process learning", 3)</f>
        <v>1</v>
      </c>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c r="BQ36" s="20"/>
      <c r="BR36" s="20"/>
      <c r="BS36" s="20"/>
      <c r="BT36" s="20"/>
      <c r="BU36" s="20"/>
      <c r="BV36" s="20"/>
      <c r="BW36" s="20"/>
      <c r="BX36" s="20"/>
      <c r="BY36" s="20"/>
      <c r="BZ36" s="20"/>
      <c r="CA36" s="20"/>
      <c r="CB36" s="20"/>
      <c r="CC36" s="20"/>
      <c r="CD36" s="20"/>
      <c r="CE36" s="20"/>
      <c r="CF36" s="20"/>
      <c r="CG36" s="20"/>
      <c r="CH36" s="20"/>
      <c r="CI36" s="20"/>
      <c r="CJ36" s="20"/>
      <c r="CK36" s="20"/>
      <c r="CL36" s="20"/>
      <c r="CM36" s="20"/>
      <c r="CN36" s="20"/>
      <c r="CO36" s="20"/>
      <c r="CP36" s="20"/>
      <c r="CQ36" s="20"/>
      <c r="CR36" s="20"/>
      <c r="CS36" s="20"/>
      <c r="CT36" s="20"/>
      <c r="CU36" s="20"/>
      <c r="CV36" s="20"/>
      <c r="CW36" s="20"/>
      <c r="CX36" s="20"/>
      <c r="CY36" s="20"/>
      <c r="CZ36" s="20"/>
      <c r="DA36" s="20"/>
      <c r="DB36" s="20"/>
      <c r="DC36" s="20"/>
      <c r="DD36" s="20"/>
      <c r="DE36" s="20"/>
      <c r="DF36" s="20"/>
      <c r="DG36" s="20"/>
      <c r="DH36" s="20"/>
      <c r="DI36" s="20"/>
      <c r="DJ36" s="20"/>
      <c r="DK36" s="20"/>
      <c r="DL36" s="20"/>
      <c r="DM36" s="20"/>
      <c r="DN36" s="20"/>
      <c r="DO36" s="20"/>
      <c r="DP36" s="20"/>
      <c r="DQ36" s="20"/>
      <c r="DR36" s="20"/>
      <c r="DS36" s="20"/>
      <c r="DT36" s="20"/>
      <c r="DU36" s="20"/>
      <c r="DV36" s="20"/>
      <c r="DW36" s="20"/>
      <c r="DX36" s="20"/>
      <c r="DY36" s="20"/>
      <c r="DZ36" s="20"/>
      <c r="EA36" s="20"/>
      <c r="EB36" s="20"/>
      <c r="EC36" s="20"/>
      <c r="ED36" s="20"/>
      <c r="EE36" s="20"/>
      <c r="EF36" s="20"/>
      <c r="EG36" s="20"/>
      <c r="EH36" s="20"/>
      <c r="EI36" s="20"/>
      <c r="EJ36" s="20"/>
      <c r="EK36" s="20"/>
      <c r="EL36" s="20"/>
      <c r="EM36" s="20"/>
      <c r="EN36" s="20"/>
      <c r="EO36" s="20"/>
      <c r="EP36" s="20"/>
      <c r="EQ36" s="20"/>
      <c r="ER36" s="20"/>
      <c r="ES36" s="20"/>
      <c r="ET36" s="20"/>
      <c r="EU36" s="20"/>
      <c r="EV36" s="20"/>
      <c r="EW36" s="20"/>
      <c r="EX36" s="20"/>
      <c r="EY36" s="20"/>
      <c r="EZ36" s="20"/>
      <c r="FA36" s="20"/>
      <c r="FB36" s="20"/>
      <c r="FC36" s="20"/>
      <c r="FD36" s="20"/>
      <c r="FE36" s="20"/>
      <c r="FF36" s="20"/>
      <c r="FG36" s="20"/>
      <c r="FH36" s="20"/>
      <c r="FI36" s="20"/>
      <c r="FJ36" s="20"/>
      <c r="FK36" s="20"/>
      <c r="FL36" s="20"/>
      <c r="FM36" s="20"/>
      <c r="FN36" s="20"/>
      <c r="FO36" s="20"/>
      <c r="FP36" s="20"/>
      <c r="FQ36" s="20"/>
      <c r="FR36" s="20"/>
      <c r="FS36" s="20"/>
      <c r="FT36" s="20"/>
      <c r="FU36" s="20"/>
      <c r="FV36" s="20"/>
      <c r="FW36" s="20"/>
      <c r="FX36" s="20"/>
      <c r="FY36" s="20"/>
      <c r="FZ36" s="20"/>
      <c r="GA36" s="20"/>
      <c r="GB36" s="20"/>
      <c r="GC36" s="20"/>
      <c r="GD36" s="20"/>
      <c r="GE36" s="20"/>
      <c r="GF36" s="20"/>
      <c r="GG36" s="20"/>
      <c r="GH36" s="20"/>
      <c r="GI36" s="20"/>
      <c r="GJ36" s="20"/>
      <c r="GK36" s="20"/>
      <c r="GL36" s="20"/>
      <c r="GM36" s="20"/>
      <c r="GN36" s="20"/>
      <c r="GO36" s="20"/>
      <c r="GP36" s="20"/>
      <c r="GQ36" s="20"/>
      <c r="GR36" s="20"/>
      <c r="GS36" s="20"/>
      <c r="GT36" s="20"/>
      <c r="GU36" s="20"/>
      <c r="GV36" s="20"/>
      <c r="GW36" s="20"/>
      <c r="GX36" s="20"/>
      <c r="GY36" s="20"/>
      <c r="GZ36" s="20"/>
      <c r="HA36" s="20"/>
      <c r="HB36" s="20"/>
      <c r="HC36" s="20"/>
      <c r="HD36" s="20"/>
      <c r="HE36" s="20"/>
      <c r="HF36" s="20"/>
      <c r="HG36" s="20"/>
      <c r="HH36" s="20"/>
      <c r="HI36" s="20"/>
      <c r="HJ36" s="20"/>
      <c r="HK36" s="20"/>
      <c r="HL36" s="20"/>
      <c r="HM36" s="20"/>
    </row>
    <row r="37" spans="1:221" s="1" customFormat="1" ht="59.25" customHeight="1" x14ac:dyDescent="0.3">
      <c r="A37" s="1">
        <v>38</v>
      </c>
      <c r="B37" s="6" t="s">
        <v>53</v>
      </c>
      <c r="C37" s="10" t="s">
        <v>315</v>
      </c>
      <c r="D37" s="7">
        <v>2025</v>
      </c>
      <c r="E37" s="13" t="s">
        <v>66</v>
      </c>
      <c r="F37" s="7">
        <v>2</v>
      </c>
      <c r="G37" s="1" t="str">
        <f t="shared" si="3"/>
        <v>Kiangala K.S.</v>
      </c>
      <c r="H37" s="15" t="s">
        <v>203</v>
      </c>
      <c r="I37" s="15" t="s">
        <v>125</v>
      </c>
      <c r="J37" s="1" t="str">
        <f t="shared" si="2"/>
        <v>ENG</v>
      </c>
      <c r="K37" s="1" t="s">
        <v>222</v>
      </c>
      <c r="L37" s="1" t="s">
        <v>408</v>
      </c>
      <c r="M37" s="1" t="s">
        <v>217</v>
      </c>
      <c r="N37" s="1" t="s">
        <v>383</v>
      </c>
      <c r="O37" s="1" t="s">
        <v>500</v>
      </c>
      <c r="Q37" s="1" t="s">
        <v>479</v>
      </c>
      <c r="R37" s="1" t="s">
        <v>386</v>
      </c>
      <c r="S37" s="6" t="s">
        <v>1892</v>
      </c>
      <c r="T37" s="6" t="s">
        <v>1893</v>
      </c>
      <c r="U37" s="6" t="s">
        <v>1894</v>
      </c>
      <c r="V37" s="6" t="s">
        <v>1895</v>
      </c>
      <c r="W37" s="15" t="s">
        <v>480</v>
      </c>
      <c r="X37" s="6" t="s">
        <v>1896</v>
      </c>
      <c r="Y37" s="6"/>
      <c r="Z37" s="19">
        <v>5</v>
      </c>
      <c r="AA37" s="19">
        <v>3</v>
      </c>
      <c r="AB37" s="1" t="s">
        <v>610</v>
      </c>
      <c r="AC37" s="1" t="s">
        <v>647</v>
      </c>
      <c r="AD37" s="1" t="s">
        <v>573</v>
      </c>
      <c r="AE37" s="1" t="s">
        <v>218</v>
      </c>
      <c r="AF37" s="6" t="s">
        <v>601</v>
      </c>
      <c r="AG37" s="6" t="s">
        <v>657</v>
      </c>
      <c r="AH37" s="6" t="s">
        <v>658</v>
      </c>
      <c r="AI37" s="6"/>
      <c r="AJ37" s="21"/>
      <c r="AK37" s="23" cm="1">
        <f t="array" ref="AK37">_xlfn.IFS(AC37="Principles observation",1, AC37="Concept formulation",2, AC37="Proof-of-concept simulation", 3, AC37="Core function validation", 4, AC37="Integration component testing", 5, AC37="Component validation in relevant environment", 6, AC37="Subsystem demonstration in relevant environment", 7, AC37="System demonstration in operational environment", 8, AC37="Production qualification", 9, AC37="Mission-proven operations", 10)</f>
        <v>6</v>
      </c>
      <c r="AL37" s="23" cm="1">
        <f t="array" ref="AL37">_xlfn.IFS(AD37="Assistive GenAI", 1, AD37="GenAI-led with human oversight", 2, AD37="Autonomous process learning", 3)</f>
        <v>1</v>
      </c>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1"/>
      <c r="BK37" s="21"/>
      <c r="BL37" s="21"/>
      <c r="BM37" s="21"/>
      <c r="BN37" s="21"/>
      <c r="BO37" s="21"/>
      <c r="BP37" s="21"/>
      <c r="BQ37" s="21"/>
      <c r="BR37" s="21"/>
      <c r="BS37" s="21"/>
      <c r="BT37" s="21"/>
      <c r="BU37" s="21"/>
      <c r="BV37" s="21"/>
      <c r="BW37" s="21"/>
      <c r="BX37" s="21"/>
      <c r="BY37" s="21"/>
      <c r="BZ37" s="21"/>
      <c r="CA37" s="21"/>
      <c r="CB37" s="21"/>
      <c r="CC37" s="21"/>
      <c r="CD37" s="21"/>
      <c r="CE37" s="21"/>
      <c r="CF37" s="21"/>
      <c r="CG37" s="21"/>
      <c r="CH37" s="21"/>
      <c r="CI37" s="21"/>
      <c r="CJ37" s="21"/>
      <c r="CK37" s="21"/>
      <c r="CL37" s="21"/>
      <c r="CM37" s="21"/>
      <c r="CN37" s="21"/>
      <c r="CO37" s="21"/>
      <c r="CP37" s="21"/>
      <c r="CQ37" s="21"/>
      <c r="CR37" s="21"/>
      <c r="CS37" s="21"/>
      <c r="CT37" s="21"/>
      <c r="CU37" s="21"/>
      <c r="CV37" s="21"/>
      <c r="CW37" s="21"/>
      <c r="CX37" s="21"/>
      <c r="CY37" s="21"/>
      <c r="CZ37" s="21"/>
      <c r="DA37" s="21"/>
      <c r="DB37" s="21"/>
      <c r="DC37" s="21"/>
      <c r="DD37" s="21"/>
      <c r="DE37" s="21"/>
      <c r="DF37" s="21"/>
      <c r="DG37" s="21"/>
      <c r="DH37" s="21"/>
      <c r="DI37" s="21"/>
      <c r="DJ37" s="21"/>
      <c r="DK37" s="21"/>
      <c r="DL37" s="21"/>
      <c r="DM37" s="21"/>
      <c r="DN37" s="21"/>
      <c r="DO37" s="21"/>
      <c r="DP37" s="21"/>
      <c r="DQ37" s="21"/>
      <c r="DR37" s="21"/>
      <c r="DS37" s="21"/>
      <c r="DT37" s="21"/>
      <c r="DU37" s="21"/>
      <c r="DV37" s="21"/>
      <c r="DW37" s="21"/>
      <c r="DX37" s="21"/>
      <c r="DY37" s="21"/>
      <c r="DZ37" s="21"/>
      <c r="EA37" s="21"/>
      <c r="EB37" s="21"/>
      <c r="EC37" s="21"/>
      <c r="ED37" s="21"/>
      <c r="EE37" s="21"/>
      <c r="EF37" s="21"/>
      <c r="EG37" s="21"/>
      <c r="EH37" s="21"/>
      <c r="EI37" s="21"/>
      <c r="EJ37" s="21"/>
      <c r="EK37" s="21"/>
      <c r="EL37" s="21"/>
      <c r="EM37" s="21"/>
      <c r="EN37" s="21"/>
      <c r="EO37" s="21"/>
      <c r="EP37" s="21"/>
      <c r="EQ37" s="21"/>
      <c r="ER37" s="21"/>
      <c r="ES37" s="21"/>
      <c r="ET37" s="21"/>
      <c r="EU37" s="21"/>
      <c r="EV37" s="21"/>
      <c r="EW37" s="21"/>
      <c r="EX37" s="21"/>
      <c r="EY37" s="21"/>
      <c r="EZ37" s="21"/>
      <c r="FA37" s="21"/>
      <c r="FB37" s="21"/>
      <c r="FC37" s="21"/>
      <c r="FD37" s="21"/>
      <c r="FE37" s="21"/>
      <c r="FF37" s="21"/>
      <c r="FG37" s="21"/>
      <c r="FH37" s="21"/>
      <c r="FI37" s="21"/>
      <c r="FJ37" s="21"/>
      <c r="FK37" s="21"/>
      <c r="FL37" s="21"/>
      <c r="FM37" s="21"/>
      <c r="FN37" s="21"/>
      <c r="FO37" s="21"/>
      <c r="FP37" s="21"/>
      <c r="FQ37" s="21"/>
      <c r="FR37" s="21"/>
      <c r="FS37" s="21"/>
      <c r="FT37" s="21"/>
      <c r="FU37" s="21"/>
      <c r="FV37" s="21"/>
      <c r="FW37" s="21"/>
      <c r="FX37" s="21"/>
      <c r="FY37" s="21"/>
      <c r="FZ37" s="21"/>
      <c r="GA37" s="21"/>
      <c r="GB37" s="21"/>
      <c r="GC37" s="21"/>
      <c r="GD37" s="21"/>
      <c r="GE37" s="21"/>
      <c r="GF37" s="21"/>
      <c r="GG37" s="21"/>
      <c r="GH37" s="21"/>
      <c r="GI37" s="21"/>
      <c r="GJ37" s="21"/>
      <c r="GK37" s="21"/>
      <c r="GL37" s="21"/>
      <c r="GM37" s="21"/>
      <c r="GN37" s="21"/>
      <c r="GO37" s="21"/>
      <c r="GP37" s="21"/>
      <c r="GQ37" s="21"/>
      <c r="GR37" s="21"/>
      <c r="GS37" s="21"/>
      <c r="GT37" s="21"/>
      <c r="GU37" s="21"/>
      <c r="GV37" s="21"/>
      <c r="GW37" s="21"/>
      <c r="GX37" s="21"/>
      <c r="GY37" s="21"/>
      <c r="GZ37" s="21"/>
      <c r="HA37" s="21"/>
      <c r="HB37" s="21"/>
      <c r="HC37" s="21"/>
      <c r="HD37" s="21"/>
      <c r="HE37" s="21"/>
      <c r="HF37" s="21"/>
      <c r="HG37" s="21"/>
      <c r="HH37" s="21"/>
      <c r="HI37" s="21"/>
      <c r="HJ37" s="21"/>
      <c r="HK37" s="21"/>
      <c r="HL37" s="21"/>
      <c r="HM37" s="21"/>
    </row>
    <row r="38" spans="1:221" s="11" customFormat="1" ht="55.95" customHeight="1" x14ac:dyDescent="0.3">
      <c r="A38" s="1">
        <v>39</v>
      </c>
      <c r="B38" s="6" t="s">
        <v>12</v>
      </c>
      <c r="C38" s="10" t="s">
        <v>250</v>
      </c>
      <c r="D38" s="7">
        <v>2025</v>
      </c>
      <c r="E38" s="13" t="s">
        <v>59</v>
      </c>
      <c r="F38" s="7">
        <v>1</v>
      </c>
      <c r="G38" s="1" t="str">
        <f t="shared" si="3"/>
        <v>Xu Q.</v>
      </c>
      <c r="H38" s="15" t="s">
        <v>180</v>
      </c>
      <c r="I38" s="15" t="s">
        <v>82</v>
      </c>
      <c r="J38" s="1" t="str">
        <f t="shared" si="2"/>
        <v>ENG</v>
      </c>
      <c r="K38" s="1" t="s">
        <v>222</v>
      </c>
      <c r="L38" s="1" t="s">
        <v>402</v>
      </c>
      <c r="M38" s="1" t="s">
        <v>425</v>
      </c>
      <c r="N38" s="1" t="s">
        <v>383</v>
      </c>
      <c r="O38" s="1" t="s">
        <v>481</v>
      </c>
      <c r="P38" s="1" t="s">
        <v>457</v>
      </c>
      <c r="Q38" s="1"/>
      <c r="R38" s="1" t="s">
        <v>483</v>
      </c>
      <c r="S38" s="6" t="s">
        <v>1897</v>
      </c>
      <c r="T38" s="6" t="s">
        <v>1898</v>
      </c>
      <c r="U38" s="6" t="s">
        <v>1899</v>
      </c>
      <c r="V38" s="6" t="s">
        <v>1900</v>
      </c>
      <c r="W38" s="15" t="s">
        <v>482</v>
      </c>
      <c r="X38" s="6" t="s">
        <v>1901</v>
      </c>
      <c r="Y38" s="6" t="s">
        <v>503</v>
      </c>
      <c r="Z38" s="1">
        <v>5</v>
      </c>
      <c r="AA38" s="1">
        <v>4</v>
      </c>
      <c r="AB38" s="7" t="s">
        <v>566</v>
      </c>
      <c r="AC38" s="1" t="s">
        <v>578</v>
      </c>
      <c r="AD38" s="1" t="s">
        <v>573</v>
      </c>
      <c r="AE38" s="1" t="s">
        <v>225</v>
      </c>
      <c r="AF38" s="6"/>
      <c r="AG38" s="6" t="s">
        <v>659</v>
      </c>
      <c r="AH38" s="6" t="s">
        <v>660</v>
      </c>
      <c r="AI38" s="6"/>
      <c r="AJ38" s="20"/>
      <c r="AK38" s="23" cm="1">
        <f t="array" ref="AK38">_xlfn.IFS(AC38="Principles observation",1, AC38="Concept formulation",2, AC38="Proof-of-concept simulation", 3, AC38="Core function validation", 4, AC38="Integration component testing", 5, AC38="Component validation in relevant environment", 6, AC38="Subsystem demonstration in relevant environment", 7, AC38="System demonstration in operational environment", 8, AC38="Production qualification", 9, AC38="Mission-proven operations", 10)</f>
        <v>4</v>
      </c>
      <c r="AL38" s="23" cm="1">
        <f t="array" ref="AL38">_xlfn.IFS(AD38="Assistive GenAI", 1, AD38="GenAI-led with human oversight", 2, AD38="Autonomous process learning", 3)</f>
        <v>1</v>
      </c>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0"/>
      <c r="BQ38" s="20"/>
      <c r="BR38" s="20"/>
      <c r="BS38" s="20"/>
      <c r="BT38" s="20"/>
      <c r="BU38" s="20"/>
      <c r="BV38" s="20"/>
      <c r="BW38" s="20"/>
      <c r="BX38" s="20"/>
      <c r="BY38" s="20"/>
      <c r="BZ38" s="20"/>
      <c r="CA38" s="20"/>
      <c r="CB38" s="20"/>
      <c r="CC38" s="20"/>
      <c r="CD38" s="20"/>
      <c r="CE38" s="20"/>
      <c r="CF38" s="20"/>
      <c r="CG38" s="20"/>
      <c r="CH38" s="20"/>
      <c r="CI38" s="20"/>
      <c r="CJ38" s="20"/>
      <c r="CK38" s="20"/>
      <c r="CL38" s="20"/>
      <c r="CM38" s="20"/>
      <c r="CN38" s="20"/>
      <c r="CO38" s="20"/>
      <c r="CP38" s="20"/>
      <c r="CQ38" s="20"/>
      <c r="CR38" s="20"/>
      <c r="CS38" s="20"/>
      <c r="CT38" s="20"/>
      <c r="CU38" s="20"/>
      <c r="CV38" s="20"/>
      <c r="CW38" s="20"/>
      <c r="CX38" s="20"/>
      <c r="CY38" s="20"/>
      <c r="CZ38" s="20"/>
      <c r="DA38" s="20"/>
      <c r="DB38" s="20"/>
      <c r="DC38" s="20"/>
      <c r="DD38" s="20"/>
      <c r="DE38" s="20"/>
      <c r="DF38" s="20"/>
      <c r="DG38" s="20"/>
      <c r="DH38" s="20"/>
      <c r="DI38" s="20"/>
      <c r="DJ38" s="20"/>
      <c r="DK38" s="20"/>
      <c r="DL38" s="20"/>
      <c r="DM38" s="20"/>
      <c r="DN38" s="20"/>
      <c r="DO38" s="20"/>
      <c r="DP38" s="20"/>
      <c r="DQ38" s="20"/>
      <c r="DR38" s="20"/>
      <c r="DS38" s="20"/>
      <c r="DT38" s="20"/>
      <c r="DU38" s="20"/>
      <c r="DV38" s="20"/>
      <c r="DW38" s="20"/>
      <c r="DX38" s="20"/>
      <c r="DY38" s="20"/>
      <c r="DZ38" s="20"/>
      <c r="EA38" s="20"/>
      <c r="EB38" s="20"/>
      <c r="EC38" s="20"/>
      <c r="ED38" s="20"/>
      <c r="EE38" s="20"/>
      <c r="EF38" s="20"/>
      <c r="EG38" s="20"/>
      <c r="EH38" s="20"/>
      <c r="EI38" s="20"/>
      <c r="EJ38" s="20"/>
      <c r="EK38" s="20"/>
      <c r="EL38" s="20"/>
      <c r="EM38" s="20"/>
      <c r="EN38" s="20"/>
      <c r="EO38" s="20"/>
      <c r="EP38" s="20"/>
      <c r="EQ38" s="20"/>
      <c r="ER38" s="20"/>
      <c r="ES38" s="20"/>
      <c r="ET38" s="20"/>
      <c r="EU38" s="20"/>
      <c r="EV38" s="20"/>
      <c r="EW38" s="20"/>
      <c r="EX38" s="20"/>
      <c r="EY38" s="20"/>
      <c r="EZ38" s="20"/>
      <c r="FA38" s="20"/>
      <c r="FB38" s="20"/>
      <c r="FC38" s="20"/>
      <c r="FD38" s="20"/>
      <c r="FE38" s="20"/>
      <c r="FF38" s="20"/>
      <c r="FG38" s="20"/>
      <c r="FH38" s="20"/>
      <c r="FI38" s="20"/>
      <c r="FJ38" s="20"/>
      <c r="FK38" s="20"/>
      <c r="FL38" s="20"/>
      <c r="FM38" s="20"/>
      <c r="FN38" s="20"/>
      <c r="FO38" s="20"/>
      <c r="FP38" s="20"/>
      <c r="FQ38" s="20"/>
      <c r="FR38" s="20"/>
      <c r="FS38" s="20"/>
      <c r="FT38" s="20"/>
      <c r="FU38" s="20"/>
      <c r="FV38" s="20"/>
      <c r="FW38" s="20"/>
      <c r="FX38" s="20"/>
      <c r="FY38" s="20"/>
      <c r="FZ38" s="20"/>
      <c r="GA38" s="20"/>
      <c r="GB38" s="20"/>
      <c r="GC38" s="20"/>
      <c r="GD38" s="20"/>
      <c r="GE38" s="20"/>
      <c r="GF38" s="20"/>
      <c r="GG38" s="20"/>
      <c r="GH38" s="20"/>
      <c r="GI38" s="20"/>
      <c r="GJ38" s="20"/>
      <c r="GK38" s="20"/>
      <c r="GL38" s="20"/>
      <c r="GM38" s="20"/>
      <c r="GN38" s="20"/>
      <c r="GO38" s="20"/>
      <c r="GP38" s="20"/>
      <c r="GQ38" s="20"/>
      <c r="GR38" s="20"/>
      <c r="GS38" s="20"/>
      <c r="GT38" s="20"/>
      <c r="GU38" s="20"/>
      <c r="GV38" s="20"/>
      <c r="GW38" s="20"/>
      <c r="GX38" s="20"/>
      <c r="GY38" s="20"/>
      <c r="GZ38" s="20"/>
      <c r="HA38" s="20"/>
      <c r="HB38" s="20"/>
      <c r="HC38" s="20"/>
      <c r="HD38" s="20"/>
      <c r="HE38" s="20"/>
      <c r="HF38" s="20"/>
      <c r="HG38" s="20"/>
      <c r="HH38" s="20"/>
      <c r="HI38" s="20"/>
      <c r="HJ38" s="20"/>
      <c r="HK38" s="20"/>
      <c r="HL38" s="20"/>
      <c r="HM38" s="20"/>
    </row>
    <row r="39" spans="1:221" s="11" customFormat="1" ht="55.95" customHeight="1" x14ac:dyDescent="0.3">
      <c r="A39" s="1">
        <v>40</v>
      </c>
      <c r="B39" s="6" t="s">
        <v>45</v>
      </c>
      <c r="C39" s="10" t="s">
        <v>266</v>
      </c>
      <c r="D39" s="7">
        <v>2025</v>
      </c>
      <c r="E39" s="13" t="s">
        <v>57</v>
      </c>
      <c r="F39" s="7">
        <v>1</v>
      </c>
      <c r="G39" s="1" t="str">
        <f t="shared" si="3"/>
        <v>Yin Y.</v>
      </c>
      <c r="H39" s="15" t="s">
        <v>340</v>
      </c>
      <c r="I39" s="15" t="s">
        <v>117</v>
      </c>
      <c r="J39" s="1" t="str">
        <f t="shared" si="2"/>
        <v>ENG</v>
      </c>
      <c r="K39" s="1" t="s">
        <v>222</v>
      </c>
      <c r="L39" s="1" t="s">
        <v>402</v>
      </c>
      <c r="M39" s="1" t="s">
        <v>425</v>
      </c>
      <c r="N39" s="1" t="s">
        <v>383</v>
      </c>
      <c r="O39" s="1" t="s">
        <v>484</v>
      </c>
      <c r="P39" s="1" t="s">
        <v>457</v>
      </c>
      <c r="Q39" s="1"/>
      <c r="R39" s="1" t="s">
        <v>423</v>
      </c>
      <c r="S39" s="6" t="s">
        <v>1902</v>
      </c>
      <c r="T39" s="6" t="s">
        <v>1903</v>
      </c>
      <c r="U39" s="6" t="s">
        <v>1904</v>
      </c>
      <c r="V39" s="6" t="s">
        <v>1905</v>
      </c>
      <c r="W39" s="15" t="s">
        <v>486</v>
      </c>
      <c r="X39" s="6"/>
      <c r="Y39" s="6" t="s">
        <v>485</v>
      </c>
      <c r="Z39" s="1">
        <v>4</v>
      </c>
      <c r="AA39" s="1">
        <v>3</v>
      </c>
      <c r="AB39" s="7" t="s">
        <v>566</v>
      </c>
      <c r="AC39" s="1" t="s">
        <v>590</v>
      </c>
      <c r="AD39" s="1" t="s">
        <v>574</v>
      </c>
      <c r="AE39" s="1" t="s">
        <v>225</v>
      </c>
      <c r="AF39" s="6"/>
      <c r="AG39" s="6" t="s">
        <v>661</v>
      </c>
      <c r="AH39" s="6" t="s">
        <v>662</v>
      </c>
      <c r="AI39" s="6"/>
      <c r="AJ39" s="20"/>
      <c r="AK39" s="23" cm="1">
        <f t="array" ref="AK39">_xlfn.IFS(AC39="Principles observation",1, AC39="Concept formulation",2, AC39="Proof-of-concept simulation", 3, AC39="Core function validation", 4, AC39="Integration component testing", 5, AC39="Component validation in relevant environment", 6, AC39="Subsystem demonstration in relevant environment", 7, AC39="System demonstration in operational environment", 8, AC39="Production qualification", 9, AC39="Mission-proven operations", 10)</f>
        <v>5</v>
      </c>
      <c r="AL39" s="23" cm="1">
        <f t="array" ref="AL39">_xlfn.IFS(AD39="Assistive GenAI", 1, AD39="GenAI-led with human oversight", 2, AD39="Autonomous process learning", 3)</f>
        <v>2</v>
      </c>
      <c r="AM39" s="20"/>
      <c r="AN39" s="20"/>
      <c r="AO39" s="20"/>
      <c r="AP39" s="20"/>
      <c r="AQ39" s="20"/>
      <c r="AR39" s="20"/>
      <c r="AS39" s="20"/>
      <c r="AT39" s="20"/>
      <c r="AU39" s="20"/>
      <c r="AV39" s="20"/>
      <c r="AW39" s="20"/>
      <c r="AX39" s="20"/>
      <c r="AY39" s="20"/>
      <c r="AZ39" s="20"/>
      <c r="BA39" s="20"/>
      <c r="BB39" s="20"/>
      <c r="BC39" s="20"/>
      <c r="BD39" s="20"/>
      <c r="BE39" s="20"/>
      <c r="BF39" s="20"/>
      <c r="BG39" s="20"/>
      <c r="BH39" s="20"/>
      <c r="BI39" s="20"/>
      <c r="BJ39" s="20"/>
      <c r="BK39" s="20"/>
      <c r="BL39" s="20"/>
      <c r="BM39" s="20"/>
      <c r="BN39" s="20"/>
      <c r="BO39" s="20"/>
      <c r="BP39" s="20"/>
      <c r="BQ39" s="20"/>
      <c r="BR39" s="20"/>
      <c r="BS39" s="20"/>
      <c r="BT39" s="20"/>
      <c r="BU39" s="20"/>
      <c r="BV39" s="20"/>
      <c r="BW39" s="20"/>
      <c r="BX39" s="20"/>
      <c r="BY39" s="20"/>
      <c r="BZ39" s="20"/>
      <c r="CA39" s="20"/>
      <c r="CB39" s="20"/>
      <c r="CC39" s="20"/>
      <c r="CD39" s="20"/>
      <c r="CE39" s="20"/>
      <c r="CF39" s="20"/>
      <c r="CG39" s="20"/>
      <c r="CH39" s="20"/>
      <c r="CI39" s="20"/>
      <c r="CJ39" s="20"/>
      <c r="CK39" s="20"/>
      <c r="CL39" s="20"/>
      <c r="CM39" s="20"/>
      <c r="CN39" s="20"/>
      <c r="CO39" s="20"/>
      <c r="CP39" s="20"/>
      <c r="CQ39" s="20"/>
      <c r="CR39" s="20"/>
      <c r="CS39" s="20"/>
      <c r="CT39" s="20"/>
      <c r="CU39" s="20"/>
      <c r="CV39" s="20"/>
      <c r="CW39" s="20"/>
      <c r="CX39" s="20"/>
      <c r="CY39" s="20"/>
      <c r="CZ39" s="20"/>
      <c r="DA39" s="20"/>
      <c r="DB39" s="20"/>
      <c r="DC39" s="20"/>
      <c r="DD39" s="20"/>
      <c r="DE39" s="20"/>
      <c r="DF39" s="20"/>
      <c r="DG39" s="20"/>
      <c r="DH39" s="20"/>
      <c r="DI39" s="20"/>
      <c r="DJ39" s="20"/>
      <c r="DK39" s="20"/>
      <c r="DL39" s="20"/>
      <c r="DM39" s="20"/>
      <c r="DN39" s="20"/>
      <c r="DO39" s="20"/>
      <c r="DP39" s="20"/>
      <c r="DQ39" s="20"/>
      <c r="DR39" s="20"/>
      <c r="DS39" s="20"/>
      <c r="DT39" s="20"/>
      <c r="DU39" s="20"/>
      <c r="DV39" s="20"/>
      <c r="DW39" s="20"/>
      <c r="DX39" s="20"/>
      <c r="DY39" s="20"/>
      <c r="DZ39" s="20"/>
      <c r="EA39" s="20"/>
      <c r="EB39" s="20"/>
      <c r="EC39" s="20"/>
      <c r="ED39" s="20"/>
      <c r="EE39" s="20"/>
      <c r="EF39" s="20"/>
      <c r="EG39" s="20"/>
      <c r="EH39" s="20"/>
      <c r="EI39" s="20"/>
      <c r="EJ39" s="20"/>
      <c r="EK39" s="20"/>
      <c r="EL39" s="20"/>
      <c r="EM39" s="20"/>
      <c r="EN39" s="20"/>
      <c r="EO39" s="20"/>
      <c r="EP39" s="20"/>
      <c r="EQ39" s="20"/>
      <c r="ER39" s="20"/>
      <c r="ES39" s="20"/>
      <c r="ET39" s="20"/>
      <c r="EU39" s="20"/>
      <c r="EV39" s="20"/>
      <c r="EW39" s="20"/>
      <c r="EX39" s="20"/>
      <c r="EY39" s="20"/>
      <c r="EZ39" s="20"/>
      <c r="FA39" s="20"/>
      <c r="FB39" s="20"/>
      <c r="FC39" s="20"/>
      <c r="FD39" s="20"/>
      <c r="FE39" s="20"/>
      <c r="FF39" s="20"/>
      <c r="FG39" s="20"/>
      <c r="FH39" s="20"/>
      <c r="FI39" s="20"/>
      <c r="FJ39" s="20"/>
      <c r="FK39" s="20"/>
      <c r="FL39" s="20"/>
      <c r="FM39" s="20"/>
      <c r="FN39" s="20"/>
      <c r="FO39" s="20"/>
      <c r="FP39" s="20"/>
      <c r="FQ39" s="20"/>
      <c r="FR39" s="20"/>
      <c r="FS39" s="20"/>
      <c r="FT39" s="20"/>
      <c r="FU39" s="20"/>
      <c r="FV39" s="20"/>
      <c r="FW39" s="20"/>
      <c r="FX39" s="20"/>
      <c r="FY39" s="20"/>
      <c r="FZ39" s="20"/>
      <c r="GA39" s="20"/>
      <c r="GB39" s="20"/>
      <c r="GC39" s="20"/>
      <c r="GD39" s="20"/>
      <c r="GE39" s="20"/>
      <c r="GF39" s="20"/>
      <c r="GG39" s="20"/>
      <c r="GH39" s="20"/>
      <c r="GI39" s="20"/>
      <c r="GJ39" s="20"/>
      <c r="GK39" s="20"/>
      <c r="GL39" s="20"/>
      <c r="GM39" s="20"/>
      <c r="GN39" s="20"/>
      <c r="GO39" s="20"/>
      <c r="GP39" s="20"/>
      <c r="GQ39" s="20"/>
      <c r="GR39" s="20"/>
      <c r="GS39" s="20"/>
      <c r="GT39" s="20"/>
      <c r="GU39" s="20"/>
      <c r="GV39" s="20"/>
      <c r="GW39" s="20"/>
      <c r="GX39" s="20"/>
      <c r="GY39" s="20"/>
      <c r="GZ39" s="20"/>
      <c r="HA39" s="20"/>
      <c r="HB39" s="20"/>
      <c r="HC39" s="20"/>
      <c r="HD39" s="20"/>
      <c r="HE39" s="20"/>
      <c r="HF39" s="20"/>
      <c r="HG39" s="20"/>
      <c r="HH39" s="20"/>
      <c r="HI39" s="20"/>
      <c r="HJ39" s="20"/>
      <c r="HK39" s="20"/>
      <c r="HL39" s="20"/>
      <c r="HM39" s="20"/>
    </row>
    <row r="40" spans="1:221" s="11" customFormat="1" ht="55.95" customHeight="1" x14ac:dyDescent="0.3">
      <c r="A40" s="1">
        <v>42</v>
      </c>
      <c r="B40" s="6" t="s">
        <v>11</v>
      </c>
      <c r="C40" s="10" t="s">
        <v>269</v>
      </c>
      <c r="D40" s="7">
        <v>2025</v>
      </c>
      <c r="E40" s="13" t="s">
        <v>66</v>
      </c>
      <c r="F40" s="7">
        <v>1</v>
      </c>
      <c r="G40" s="1" t="str">
        <f t="shared" si="3"/>
        <v>Wu P.</v>
      </c>
      <c r="H40" s="15" t="s">
        <v>213</v>
      </c>
      <c r="I40" s="15" t="s">
        <v>81</v>
      </c>
      <c r="J40" s="1" t="str">
        <f t="shared" si="2"/>
        <v>ENG</v>
      </c>
      <c r="K40" s="1" t="s">
        <v>222</v>
      </c>
      <c r="L40" s="1" t="s">
        <v>402</v>
      </c>
      <c r="M40" s="1" t="s">
        <v>425</v>
      </c>
      <c r="N40" s="1" t="s">
        <v>383</v>
      </c>
      <c r="O40" s="1" t="s">
        <v>477</v>
      </c>
      <c r="P40" s="1" t="s">
        <v>457</v>
      </c>
      <c r="Q40" s="1"/>
      <c r="R40" s="1" t="s">
        <v>390</v>
      </c>
      <c r="S40" s="6" t="s">
        <v>1906</v>
      </c>
      <c r="T40" s="6" t="s">
        <v>1907</v>
      </c>
      <c r="U40" s="6" t="s">
        <v>1908</v>
      </c>
      <c r="V40" s="6" t="s">
        <v>1909</v>
      </c>
      <c r="W40" s="15" t="s">
        <v>487</v>
      </c>
      <c r="X40" s="6" t="s">
        <v>1910</v>
      </c>
      <c r="Y40" s="6" t="s">
        <v>488</v>
      </c>
      <c r="Z40" s="1">
        <v>4</v>
      </c>
      <c r="AA40" s="1">
        <v>3</v>
      </c>
      <c r="AB40" s="7" t="s">
        <v>566</v>
      </c>
      <c r="AC40" s="1" t="s">
        <v>578</v>
      </c>
      <c r="AD40" s="1" t="s">
        <v>573</v>
      </c>
      <c r="AE40" s="1" t="s">
        <v>225</v>
      </c>
      <c r="AF40" s="6"/>
      <c r="AG40" s="6" t="s">
        <v>663</v>
      </c>
      <c r="AH40" s="6" t="s">
        <v>664</v>
      </c>
      <c r="AI40" s="6"/>
      <c r="AJ40" s="20"/>
      <c r="AK40" s="23" cm="1">
        <f t="array" ref="AK40">_xlfn.IFS(AC40="Principles observation",1, AC40="Concept formulation",2, AC40="Proof-of-concept simulation", 3, AC40="Core function validation", 4, AC40="Integration component testing", 5, AC40="Component validation in relevant environment", 6, AC40="Subsystem demonstration in relevant environment", 7, AC40="System demonstration in operational environment", 8, AC40="Production qualification", 9, AC40="Mission-proven operations", 10)</f>
        <v>4</v>
      </c>
      <c r="AL40" s="23" cm="1">
        <f t="array" ref="AL40">_xlfn.IFS(AD40="Assistive GenAI", 1, AD40="GenAI-led with human oversight", 2, AD40="Autonomous process learning", 3)</f>
        <v>1</v>
      </c>
      <c r="AM40" s="20"/>
      <c r="AN40" s="20"/>
      <c r="AO40" s="20"/>
      <c r="AP40" s="20"/>
      <c r="AQ40" s="20"/>
      <c r="AR40" s="20"/>
      <c r="AS40" s="20"/>
      <c r="AT40" s="20"/>
      <c r="AU40" s="20"/>
      <c r="AV40" s="20"/>
      <c r="AW40" s="20"/>
      <c r="AX40" s="20"/>
      <c r="AY40" s="20"/>
      <c r="AZ40" s="20"/>
      <c r="BA40" s="20"/>
      <c r="BB40" s="20"/>
      <c r="BC40" s="20"/>
      <c r="BD40" s="20"/>
      <c r="BE40" s="20"/>
      <c r="BF40" s="20"/>
      <c r="BG40" s="20"/>
      <c r="BH40" s="20"/>
      <c r="BI40" s="20"/>
      <c r="BJ40" s="20"/>
      <c r="BK40" s="20"/>
      <c r="BL40" s="20"/>
      <c r="BM40" s="20"/>
      <c r="BN40" s="20"/>
      <c r="BO40" s="20"/>
      <c r="BP40" s="20"/>
      <c r="BQ40" s="20"/>
      <c r="BR40" s="20"/>
      <c r="BS40" s="20"/>
      <c r="BT40" s="20"/>
      <c r="BU40" s="20"/>
      <c r="BV40" s="20"/>
      <c r="BW40" s="20"/>
      <c r="BX40" s="20"/>
      <c r="BY40" s="20"/>
      <c r="BZ40" s="20"/>
      <c r="CA40" s="20"/>
      <c r="CB40" s="20"/>
      <c r="CC40" s="20"/>
      <c r="CD40" s="20"/>
      <c r="CE40" s="20"/>
      <c r="CF40" s="20"/>
      <c r="CG40" s="20"/>
      <c r="CH40" s="20"/>
      <c r="CI40" s="20"/>
      <c r="CJ40" s="20"/>
      <c r="CK40" s="20"/>
      <c r="CL40" s="20"/>
      <c r="CM40" s="20"/>
      <c r="CN40" s="20"/>
      <c r="CO40" s="20"/>
      <c r="CP40" s="20"/>
      <c r="CQ40" s="20"/>
      <c r="CR40" s="20"/>
      <c r="CS40" s="20"/>
      <c r="CT40" s="20"/>
      <c r="CU40" s="20"/>
      <c r="CV40" s="20"/>
      <c r="CW40" s="20"/>
      <c r="CX40" s="20"/>
      <c r="CY40" s="20"/>
      <c r="CZ40" s="20"/>
      <c r="DA40" s="20"/>
      <c r="DB40" s="20"/>
      <c r="DC40" s="20"/>
      <c r="DD40" s="20"/>
      <c r="DE40" s="20"/>
      <c r="DF40" s="20"/>
      <c r="DG40" s="20"/>
      <c r="DH40" s="20"/>
      <c r="DI40" s="20"/>
      <c r="DJ40" s="20"/>
      <c r="DK40" s="20"/>
      <c r="DL40" s="20"/>
      <c r="DM40" s="20"/>
      <c r="DN40" s="20"/>
      <c r="DO40" s="20"/>
      <c r="DP40" s="20"/>
      <c r="DQ40" s="20"/>
      <c r="DR40" s="20"/>
      <c r="DS40" s="20"/>
      <c r="DT40" s="20"/>
      <c r="DU40" s="20"/>
      <c r="DV40" s="20"/>
      <c r="DW40" s="20"/>
      <c r="DX40" s="20"/>
      <c r="DY40" s="20"/>
      <c r="DZ40" s="20"/>
      <c r="EA40" s="20"/>
      <c r="EB40" s="20"/>
      <c r="EC40" s="20"/>
      <c r="ED40" s="20"/>
      <c r="EE40" s="20"/>
      <c r="EF40" s="20"/>
      <c r="EG40" s="20"/>
      <c r="EH40" s="20"/>
      <c r="EI40" s="20"/>
      <c r="EJ40" s="20"/>
      <c r="EK40" s="20"/>
      <c r="EL40" s="20"/>
      <c r="EM40" s="20"/>
      <c r="EN40" s="20"/>
      <c r="EO40" s="20"/>
      <c r="EP40" s="20"/>
      <c r="EQ40" s="20"/>
      <c r="ER40" s="20"/>
      <c r="ES40" s="20"/>
      <c r="ET40" s="20"/>
      <c r="EU40" s="20"/>
      <c r="EV40" s="20"/>
      <c r="EW40" s="20"/>
      <c r="EX40" s="20"/>
      <c r="EY40" s="20"/>
      <c r="EZ40" s="20"/>
      <c r="FA40" s="20"/>
      <c r="FB40" s="20"/>
      <c r="FC40" s="20"/>
      <c r="FD40" s="20"/>
      <c r="FE40" s="20"/>
      <c r="FF40" s="20"/>
      <c r="FG40" s="20"/>
      <c r="FH40" s="20"/>
      <c r="FI40" s="20"/>
      <c r="FJ40" s="20"/>
      <c r="FK40" s="20"/>
      <c r="FL40" s="20"/>
      <c r="FM40" s="20"/>
      <c r="FN40" s="20"/>
      <c r="FO40" s="20"/>
      <c r="FP40" s="20"/>
      <c r="FQ40" s="20"/>
      <c r="FR40" s="20"/>
      <c r="FS40" s="20"/>
      <c r="FT40" s="20"/>
      <c r="FU40" s="20"/>
      <c r="FV40" s="20"/>
      <c r="FW40" s="20"/>
      <c r="FX40" s="20"/>
      <c r="FY40" s="20"/>
      <c r="FZ40" s="20"/>
      <c r="GA40" s="20"/>
      <c r="GB40" s="20"/>
      <c r="GC40" s="20"/>
      <c r="GD40" s="20"/>
      <c r="GE40" s="20"/>
      <c r="GF40" s="20"/>
      <c r="GG40" s="20"/>
      <c r="GH40" s="20"/>
      <c r="GI40" s="20"/>
      <c r="GJ40" s="20"/>
      <c r="GK40" s="20"/>
      <c r="GL40" s="20"/>
      <c r="GM40" s="20"/>
      <c r="GN40" s="20"/>
      <c r="GO40" s="20"/>
      <c r="GP40" s="20"/>
      <c r="GQ40" s="20"/>
      <c r="GR40" s="20"/>
      <c r="GS40" s="20"/>
      <c r="GT40" s="20"/>
      <c r="GU40" s="20"/>
      <c r="GV40" s="20"/>
      <c r="GW40" s="20"/>
      <c r="GX40" s="20"/>
      <c r="GY40" s="20"/>
      <c r="GZ40" s="20"/>
      <c r="HA40" s="20"/>
      <c r="HB40" s="20"/>
      <c r="HC40" s="20"/>
      <c r="HD40" s="20"/>
      <c r="HE40" s="20"/>
      <c r="HF40" s="20"/>
      <c r="HG40" s="20"/>
      <c r="HH40" s="20"/>
      <c r="HI40" s="20"/>
      <c r="HJ40" s="20"/>
      <c r="HK40" s="20"/>
      <c r="HL40" s="20"/>
      <c r="HM40" s="20"/>
    </row>
    <row r="41" spans="1:221" s="11" customFormat="1" ht="55.95" customHeight="1" x14ac:dyDescent="0.3">
      <c r="A41" s="1">
        <v>43</v>
      </c>
      <c r="B41" s="6" t="s">
        <v>26</v>
      </c>
      <c r="C41" s="10" t="s">
        <v>283</v>
      </c>
      <c r="D41" s="7">
        <v>2025</v>
      </c>
      <c r="E41" s="13" t="s">
        <v>58</v>
      </c>
      <c r="F41" s="7">
        <v>1</v>
      </c>
      <c r="G41" s="1" t="str">
        <f t="shared" si="3"/>
        <v>Gautam A.</v>
      </c>
      <c r="H41" s="15" t="s">
        <v>346</v>
      </c>
      <c r="I41" s="15" t="s">
        <v>96</v>
      </c>
      <c r="J41" s="1" t="str">
        <f t="shared" si="2"/>
        <v>ENG</v>
      </c>
      <c r="K41" s="1" t="s">
        <v>222</v>
      </c>
      <c r="L41" s="1" t="s">
        <v>402</v>
      </c>
      <c r="M41" s="1" t="s">
        <v>425</v>
      </c>
      <c r="N41" s="1" t="s">
        <v>383</v>
      </c>
      <c r="O41" s="1" t="s">
        <v>500</v>
      </c>
      <c r="P41" s="1"/>
      <c r="Q41" s="1"/>
      <c r="R41" s="1" t="s">
        <v>489</v>
      </c>
      <c r="S41" s="6" t="s">
        <v>1911</v>
      </c>
      <c r="T41" s="6" t="s">
        <v>1912</v>
      </c>
      <c r="U41" s="6" t="s">
        <v>1913</v>
      </c>
      <c r="V41" s="6" t="s">
        <v>1914</v>
      </c>
      <c r="W41" s="15" t="s">
        <v>490</v>
      </c>
      <c r="X41" s="6" t="s">
        <v>1915</v>
      </c>
      <c r="Y41" s="6" t="s">
        <v>491</v>
      </c>
      <c r="Z41" s="1">
        <v>4</v>
      </c>
      <c r="AA41" s="1">
        <v>3</v>
      </c>
      <c r="AB41" s="7" t="s">
        <v>566</v>
      </c>
      <c r="AC41" s="1" t="s">
        <v>590</v>
      </c>
      <c r="AD41" s="1" t="s">
        <v>573</v>
      </c>
      <c r="AE41" s="1" t="s">
        <v>225</v>
      </c>
      <c r="AF41" s="6"/>
      <c r="AG41" s="6" t="s">
        <v>666</v>
      </c>
      <c r="AH41" s="6" t="s">
        <v>665</v>
      </c>
      <c r="AI41" s="6"/>
      <c r="AJ41" s="20"/>
      <c r="AK41" s="23" cm="1">
        <f t="array" ref="AK41">_xlfn.IFS(AC41="Principles observation",1, AC41="Concept formulation",2, AC41="Proof-of-concept simulation", 3, AC41="Core function validation", 4, AC41="Integration component testing", 5, AC41="Component validation in relevant environment", 6, AC41="Subsystem demonstration in relevant environment", 7, AC41="System demonstration in operational environment", 8, AC41="Production qualification", 9, AC41="Mission-proven operations", 10)</f>
        <v>5</v>
      </c>
      <c r="AL41" s="23" cm="1">
        <f t="array" ref="AL41">_xlfn.IFS(AD41="Assistive GenAI", 1, AD41="GenAI-led with human oversight", 2, AD41="Autonomous process learning", 3)</f>
        <v>1</v>
      </c>
      <c r="AM41" s="20"/>
      <c r="AN41" s="20"/>
      <c r="AO41" s="20"/>
      <c r="AP41" s="20"/>
      <c r="AQ41" s="20"/>
      <c r="AR41" s="20"/>
      <c r="AS41" s="20"/>
      <c r="AT41" s="20"/>
      <c r="AU41" s="20"/>
      <c r="AV41" s="20"/>
      <c r="AW41" s="20"/>
      <c r="AX41" s="20"/>
      <c r="AY41" s="20"/>
      <c r="AZ41" s="20"/>
      <c r="BA41" s="20"/>
      <c r="BB41" s="20"/>
      <c r="BC41" s="20"/>
      <c r="BD41" s="20"/>
      <c r="BE41" s="20"/>
      <c r="BF41" s="20"/>
      <c r="BG41" s="20"/>
      <c r="BH41" s="20"/>
      <c r="BI41" s="20"/>
      <c r="BJ41" s="20"/>
      <c r="BK41" s="20"/>
      <c r="BL41" s="20"/>
      <c r="BM41" s="20"/>
      <c r="BN41" s="20"/>
      <c r="BO41" s="20"/>
      <c r="BP41" s="20"/>
      <c r="BQ41" s="20"/>
      <c r="BR41" s="20"/>
      <c r="BS41" s="20"/>
      <c r="BT41" s="20"/>
      <c r="BU41" s="20"/>
      <c r="BV41" s="20"/>
      <c r="BW41" s="20"/>
      <c r="BX41" s="20"/>
      <c r="BY41" s="20"/>
      <c r="BZ41" s="20"/>
      <c r="CA41" s="20"/>
      <c r="CB41" s="20"/>
      <c r="CC41" s="20"/>
      <c r="CD41" s="20"/>
      <c r="CE41" s="20"/>
      <c r="CF41" s="20"/>
      <c r="CG41" s="20"/>
      <c r="CH41" s="20"/>
      <c r="CI41" s="20"/>
      <c r="CJ41" s="20"/>
      <c r="CK41" s="20"/>
      <c r="CL41" s="20"/>
      <c r="CM41" s="20"/>
      <c r="CN41" s="20"/>
      <c r="CO41" s="20"/>
      <c r="CP41" s="20"/>
      <c r="CQ41" s="20"/>
      <c r="CR41" s="20"/>
      <c r="CS41" s="20"/>
      <c r="CT41" s="20"/>
      <c r="CU41" s="20"/>
      <c r="CV41" s="20"/>
      <c r="CW41" s="20"/>
      <c r="CX41" s="20"/>
      <c r="CY41" s="20"/>
      <c r="CZ41" s="20"/>
      <c r="DA41" s="20"/>
      <c r="DB41" s="20"/>
      <c r="DC41" s="20"/>
      <c r="DD41" s="20"/>
      <c r="DE41" s="20"/>
      <c r="DF41" s="20"/>
      <c r="DG41" s="20"/>
      <c r="DH41" s="20"/>
      <c r="DI41" s="20"/>
      <c r="DJ41" s="20"/>
      <c r="DK41" s="20"/>
      <c r="DL41" s="20"/>
      <c r="DM41" s="20"/>
      <c r="DN41" s="20"/>
      <c r="DO41" s="20"/>
      <c r="DP41" s="20"/>
      <c r="DQ41" s="20"/>
      <c r="DR41" s="20"/>
      <c r="DS41" s="20"/>
      <c r="DT41" s="20"/>
      <c r="DU41" s="20"/>
      <c r="DV41" s="20"/>
      <c r="DW41" s="20"/>
      <c r="DX41" s="20"/>
      <c r="DY41" s="20"/>
      <c r="DZ41" s="20"/>
      <c r="EA41" s="20"/>
      <c r="EB41" s="20"/>
      <c r="EC41" s="20"/>
      <c r="ED41" s="20"/>
      <c r="EE41" s="20"/>
      <c r="EF41" s="20"/>
      <c r="EG41" s="20"/>
      <c r="EH41" s="20"/>
      <c r="EI41" s="20"/>
      <c r="EJ41" s="20"/>
      <c r="EK41" s="20"/>
      <c r="EL41" s="20"/>
      <c r="EM41" s="20"/>
      <c r="EN41" s="20"/>
      <c r="EO41" s="20"/>
      <c r="EP41" s="20"/>
      <c r="EQ41" s="20"/>
      <c r="ER41" s="20"/>
      <c r="ES41" s="20"/>
      <c r="ET41" s="20"/>
      <c r="EU41" s="20"/>
      <c r="EV41" s="20"/>
      <c r="EW41" s="20"/>
      <c r="EX41" s="20"/>
      <c r="EY41" s="20"/>
      <c r="EZ41" s="20"/>
      <c r="FA41" s="20"/>
      <c r="FB41" s="20"/>
      <c r="FC41" s="20"/>
      <c r="FD41" s="20"/>
      <c r="FE41" s="20"/>
      <c r="FF41" s="20"/>
      <c r="FG41" s="20"/>
      <c r="FH41" s="20"/>
      <c r="FI41" s="20"/>
      <c r="FJ41" s="20"/>
      <c r="FK41" s="20"/>
      <c r="FL41" s="20"/>
      <c r="FM41" s="20"/>
      <c r="FN41" s="20"/>
      <c r="FO41" s="20"/>
      <c r="FP41" s="20"/>
      <c r="FQ41" s="20"/>
      <c r="FR41" s="20"/>
      <c r="FS41" s="20"/>
      <c r="FT41" s="20"/>
      <c r="FU41" s="20"/>
      <c r="FV41" s="20"/>
      <c r="FW41" s="20"/>
      <c r="FX41" s="20"/>
      <c r="FY41" s="20"/>
      <c r="FZ41" s="20"/>
      <c r="GA41" s="20"/>
      <c r="GB41" s="20"/>
      <c r="GC41" s="20"/>
      <c r="GD41" s="20"/>
      <c r="GE41" s="20"/>
      <c r="GF41" s="20"/>
      <c r="GG41" s="20"/>
      <c r="GH41" s="20"/>
      <c r="GI41" s="20"/>
      <c r="GJ41" s="20"/>
      <c r="GK41" s="20"/>
      <c r="GL41" s="20"/>
      <c r="GM41" s="20"/>
      <c r="GN41" s="20"/>
      <c r="GO41" s="20"/>
      <c r="GP41" s="20"/>
      <c r="GQ41" s="20"/>
      <c r="GR41" s="20"/>
      <c r="GS41" s="20"/>
      <c r="GT41" s="20"/>
      <c r="GU41" s="20"/>
      <c r="GV41" s="20"/>
      <c r="GW41" s="20"/>
      <c r="GX41" s="20"/>
      <c r="GY41" s="20"/>
      <c r="GZ41" s="20"/>
      <c r="HA41" s="20"/>
      <c r="HB41" s="20"/>
      <c r="HC41" s="20"/>
      <c r="HD41" s="20"/>
      <c r="HE41" s="20"/>
      <c r="HF41" s="20"/>
      <c r="HG41" s="20"/>
      <c r="HH41" s="20"/>
      <c r="HI41" s="20"/>
      <c r="HJ41" s="20"/>
      <c r="HK41" s="20"/>
      <c r="HL41" s="20"/>
      <c r="HM41" s="20"/>
    </row>
    <row r="42" spans="1:221" s="11" customFormat="1" ht="55.95" customHeight="1" x14ac:dyDescent="0.3">
      <c r="A42" s="1">
        <v>44</v>
      </c>
      <c r="B42" s="6" t="s">
        <v>30</v>
      </c>
      <c r="C42" s="10" t="s">
        <v>289</v>
      </c>
      <c r="D42" s="7">
        <v>2025</v>
      </c>
      <c r="E42" s="13" t="s">
        <v>62</v>
      </c>
      <c r="F42" s="7">
        <v>1</v>
      </c>
      <c r="G42" s="1" t="str">
        <f t="shared" si="3"/>
        <v>Lin X.</v>
      </c>
      <c r="H42" s="15" t="s">
        <v>212</v>
      </c>
      <c r="I42" s="15" t="s">
        <v>100</v>
      </c>
      <c r="J42" s="1" t="str">
        <f t="shared" si="2"/>
        <v>ENG</v>
      </c>
      <c r="K42" s="1" t="s">
        <v>222</v>
      </c>
      <c r="L42" s="1" t="s">
        <v>402</v>
      </c>
      <c r="M42" s="1" t="s">
        <v>425</v>
      </c>
      <c r="N42" s="1" t="s">
        <v>383</v>
      </c>
      <c r="O42" s="1" t="s">
        <v>481</v>
      </c>
      <c r="P42" s="1" t="s">
        <v>457</v>
      </c>
      <c r="Q42" s="1"/>
      <c r="R42" s="1" t="s">
        <v>403</v>
      </c>
      <c r="S42" s="6" t="s">
        <v>1916</v>
      </c>
      <c r="T42" s="6" t="s">
        <v>1917</v>
      </c>
      <c r="U42" s="6"/>
      <c r="V42" s="6" t="s">
        <v>1918</v>
      </c>
      <c r="W42" s="15" t="s">
        <v>492</v>
      </c>
      <c r="X42" s="6" t="s">
        <v>1919</v>
      </c>
      <c r="Y42" s="6" t="s">
        <v>493</v>
      </c>
      <c r="Z42" s="1">
        <v>4</v>
      </c>
      <c r="AA42" s="1">
        <v>3</v>
      </c>
      <c r="AB42" s="7" t="s">
        <v>566</v>
      </c>
      <c r="AC42" s="1" t="s">
        <v>590</v>
      </c>
      <c r="AD42" s="1" t="s">
        <v>574</v>
      </c>
      <c r="AE42" s="1" t="s">
        <v>225</v>
      </c>
      <c r="AF42" s="6"/>
      <c r="AG42" s="6" t="s">
        <v>746</v>
      </c>
      <c r="AH42" s="6" t="s">
        <v>747</v>
      </c>
      <c r="AI42" s="6"/>
      <c r="AJ42" s="20"/>
      <c r="AK42" s="23" cm="1">
        <f t="array" ref="AK42">_xlfn.IFS(AC42="Principles observation",1, AC42="Concept formulation",2, AC42="Proof-of-concept simulation", 3, AC42="Core function validation", 4, AC42="Integration component testing", 5, AC42="Component validation in relevant environment", 6, AC42="Subsystem demonstration in relevant environment", 7, AC42="System demonstration in operational environment", 8, AC42="Production qualification", 9, AC42="Mission-proven operations", 10)</f>
        <v>5</v>
      </c>
      <c r="AL42" s="23" cm="1">
        <f t="array" ref="AL42">_xlfn.IFS(AD42="Assistive GenAI", 1, AD42="GenAI-led with human oversight", 2, AD42="Autonomous process learning", 3)</f>
        <v>2</v>
      </c>
      <c r="AM42" s="20"/>
      <c r="AN42" s="20"/>
      <c r="AO42" s="20"/>
      <c r="AP42" s="20"/>
      <c r="AQ42" s="20"/>
      <c r="AR42" s="20"/>
      <c r="AS42" s="20"/>
      <c r="AT42" s="20"/>
      <c r="AU42" s="20"/>
      <c r="AV42" s="20"/>
      <c r="AW42" s="20"/>
      <c r="AX42" s="20"/>
      <c r="AY42" s="20"/>
      <c r="AZ42" s="20"/>
      <c r="BA42" s="20"/>
      <c r="BB42" s="20"/>
      <c r="BC42" s="20"/>
      <c r="BD42" s="20"/>
      <c r="BE42" s="20"/>
      <c r="BF42" s="20"/>
      <c r="BG42" s="20"/>
      <c r="BH42" s="20"/>
      <c r="BI42" s="20"/>
      <c r="BJ42" s="20"/>
      <c r="BK42" s="20"/>
      <c r="BL42" s="20"/>
      <c r="BM42" s="20"/>
      <c r="BN42" s="20"/>
      <c r="BO42" s="20"/>
      <c r="BP42" s="20"/>
      <c r="BQ42" s="20"/>
      <c r="BR42" s="20"/>
      <c r="BS42" s="20"/>
      <c r="BT42" s="20"/>
      <c r="BU42" s="20"/>
      <c r="BV42" s="20"/>
      <c r="BW42" s="20"/>
      <c r="BX42" s="20"/>
      <c r="BY42" s="20"/>
      <c r="BZ42" s="20"/>
      <c r="CA42" s="20"/>
      <c r="CB42" s="20"/>
      <c r="CC42" s="20"/>
      <c r="CD42" s="20"/>
      <c r="CE42" s="20"/>
      <c r="CF42" s="20"/>
      <c r="CG42" s="20"/>
      <c r="CH42" s="20"/>
      <c r="CI42" s="20"/>
      <c r="CJ42" s="20"/>
      <c r="CK42" s="20"/>
      <c r="CL42" s="20"/>
      <c r="CM42" s="20"/>
      <c r="CN42" s="20"/>
      <c r="CO42" s="20"/>
      <c r="CP42" s="20"/>
      <c r="CQ42" s="20"/>
      <c r="CR42" s="20"/>
      <c r="CS42" s="20"/>
      <c r="CT42" s="20"/>
      <c r="CU42" s="20"/>
      <c r="CV42" s="20"/>
      <c r="CW42" s="20"/>
      <c r="CX42" s="20"/>
      <c r="CY42" s="20"/>
      <c r="CZ42" s="20"/>
      <c r="DA42" s="20"/>
      <c r="DB42" s="20"/>
      <c r="DC42" s="20"/>
      <c r="DD42" s="20"/>
      <c r="DE42" s="20"/>
      <c r="DF42" s="20"/>
      <c r="DG42" s="20"/>
      <c r="DH42" s="20"/>
      <c r="DI42" s="20"/>
      <c r="DJ42" s="20"/>
      <c r="DK42" s="20"/>
      <c r="DL42" s="20"/>
      <c r="DM42" s="20"/>
      <c r="DN42" s="20"/>
      <c r="DO42" s="20"/>
      <c r="DP42" s="20"/>
      <c r="DQ42" s="20"/>
      <c r="DR42" s="20"/>
      <c r="DS42" s="20"/>
      <c r="DT42" s="20"/>
      <c r="DU42" s="20"/>
      <c r="DV42" s="20"/>
      <c r="DW42" s="20"/>
      <c r="DX42" s="20"/>
      <c r="DY42" s="20"/>
      <c r="DZ42" s="20"/>
      <c r="EA42" s="20"/>
      <c r="EB42" s="20"/>
      <c r="EC42" s="20"/>
      <c r="ED42" s="20"/>
      <c r="EE42" s="20"/>
      <c r="EF42" s="20"/>
      <c r="EG42" s="20"/>
      <c r="EH42" s="20"/>
      <c r="EI42" s="20"/>
      <c r="EJ42" s="20"/>
      <c r="EK42" s="20"/>
      <c r="EL42" s="20"/>
      <c r="EM42" s="20"/>
      <c r="EN42" s="20"/>
      <c r="EO42" s="20"/>
      <c r="EP42" s="20"/>
      <c r="EQ42" s="20"/>
      <c r="ER42" s="20"/>
      <c r="ES42" s="20"/>
      <c r="ET42" s="20"/>
      <c r="EU42" s="20"/>
      <c r="EV42" s="20"/>
      <c r="EW42" s="20"/>
      <c r="EX42" s="20"/>
      <c r="EY42" s="20"/>
      <c r="EZ42" s="20"/>
      <c r="FA42" s="20"/>
      <c r="FB42" s="20"/>
      <c r="FC42" s="20"/>
      <c r="FD42" s="20"/>
      <c r="FE42" s="20"/>
      <c r="FF42" s="20"/>
      <c r="FG42" s="20"/>
      <c r="FH42" s="20"/>
      <c r="FI42" s="20"/>
      <c r="FJ42" s="20"/>
      <c r="FK42" s="20"/>
      <c r="FL42" s="20"/>
      <c r="FM42" s="20"/>
      <c r="FN42" s="20"/>
      <c r="FO42" s="20"/>
      <c r="FP42" s="20"/>
      <c r="FQ42" s="20"/>
      <c r="FR42" s="20"/>
      <c r="FS42" s="20"/>
      <c r="FT42" s="20"/>
      <c r="FU42" s="20"/>
      <c r="FV42" s="20"/>
      <c r="FW42" s="20"/>
      <c r="FX42" s="20"/>
      <c r="FY42" s="20"/>
      <c r="FZ42" s="20"/>
      <c r="GA42" s="20"/>
      <c r="GB42" s="20"/>
      <c r="GC42" s="20"/>
      <c r="GD42" s="20"/>
      <c r="GE42" s="20"/>
      <c r="GF42" s="20"/>
      <c r="GG42" s="20"/>
      <c r="GH42" s="20"/>
      <c r="GI42" s="20"/>
      <c r="GJ42" s="20"/>
      <c r="GK42" s="20"/>
      <c r="GL42" s="20"/>
      <c r="GM42" s="20"/>
      <c r="GN42" s="20"/>
      <c r="GO42" s="20"/>
      <c r="GP42" s="20"/>
      <c r="GQ42" s="20"/>
      <c r="GR42" s="20"/>
      <c r="GS42" s="20"/>
      <c r="GT42" s="20"/>
      <c r="GU42" s="20"/>
      <c r="GV42" s="20"/>
      <c r="GW42" s="20"/>
      <c r="GX42" s="20"/>
      <c r="GY42" s="20"/>
      <c r="GZ42" s="20"/>
      <c r="HA42" s="20"/>
      <c r="HB42" s="20"/>
      <c r="HC42" s="20"/>
      <c r="HD42" s="20"/>
      <c r="HE42" s="20"/>
      <c r="HF42" s="20"/>
      <c r="HG42" s="20"/>
      <c r="HH42" s="20"/>
      <c r="HI42" s="20"/>
      <c r="HJ42" s="20"/>
      <c r="HK42" s="20"/>
      <c r="HL42" s="20"/>
      <c r="HM42" s="20"/>
    </row>
    <row r="43" spans="1:221" s="11" customFormat="1" ht="55.95" customHeight="1" x14ac:dyDescent="0.3">
      <c r="A43" s="1">
        <v>45</v>
      </c>
      <c r="B43" s="6" t="s">
        <v>240</v>
      </c>
      <c r="C43" s="10" t="s">
        <v>296</v>
      </c>
      <c r="D43" s="7">
        <v>2025</v>
      </c>
      <c r="E43" s="13" t="s">
        <v>61</v>
      </c>
      <c r="F43" s="7">
        <v>1</v>
      </c>
      <c r="G43" s="1" t="str">
        <f t="shared" si="3"/>
        <v>Keskin Z.</v>
      </c>
      <c r="H43" s="15" t="s">
        <v>190</v>
      </c>
      <c r="I43" s="15" t="s">
        <v>102</v>
      </c>
      <c r="J43" s="1" t="str">
        <f t="shared" si="2"/>
        <v>ENG</v>
      </c>
      <c r="K43" s="1" t="s">
        <v>222</v>
      </c>
      <c r="L43" s="1" t="s">
        <v>402</v>
      </c>
      <c r="M43" s="1" t="s">
        <v>217</v>
      </c>
      <c r="N43" s="1" t="s">
        <v>383</v>
      </c>
      <c r="O43" s="1" t="s">
        <v>494</v>
      </c>
      <c r="P43" s="1" t="s">
        <v>457</v>
      </c>
      <c r="Q43" s="1"/>
      <c r="R43" s="1" t="s">
        <v>423</v>
      </c>
      <c r="S43" s="6" t="s">
        <v>1920</v>
      </c>
      <c r="T43" s="6" t="s">
        <v>1921</v>
      </c>
      <c r="U43" s="6" t="s">
        <v>1922</v>
      </c>
      <c r="V43" s="6" t="s">
        <v>1923</v>
      </c>
      <c r="W43" s="15" t="s">
        <v>495</v>
      </c>
      <c r="X43" s="6" t="s">
        <v>1924</v>
      </c>
      <c r="Y43" s="6" t="s">
        <v>496</v>
      </c>
      <c r="Z43" s="1">
        <v>4</v>
      </c>
      <c r="AA43" s="1">
        <v>3</v>
      </c>
      <c r="AB43" s="7" t="s">
        <v>566</v>
      </c>
      <c r="AC43" s="1" t="s">
        <v>578</v>
      </c>
      <c r="AD43" s="1" t="s">
        <v>573</v>
      </c>
      <c r="AE43" s="1" t="s">
        <v>225</v>
      </c>
      <c r="AF43" s="6"/>
      <c r="AG43" s="6" t="s">
        <v>667</v>
      </c>
      <c r="AH43" s="6" t="s">
        <v>668</v>
      </c>
      <c r="AI43" s="6"/>
      <c r="AJ43" s="20"/>
      <c r="AK43" s="23" cm="1">
        <f t="array" ref="AK43">_xlfn.IFS(AC43="Principles observation",1, AC43="Concept formulation",2, AC43="Proof-of-concept simulation", 3, AC43="Core function validation", 4, AC43="Integration component testing", 5, AC43="Component validation in relevant environment", 6, AC43="Subsystem demonstration in relevant environment", 7, AC43="System demonstration in operational environment", 8, AC43="Production qualification", 9, AC43="Mission-proven operations", 10)</f>
        <v>4</v>
      </c>
      <c r="AL43" s="23" cm="1">
        <f t="array" ref="AL43">_xlfn.IFS(AD43="Assistive GenAI", 1, AD43="GenAI-led with human oversight", 2, AD43="Autonomous process learning", 3)</f>
        <v>1</v>
      </c>
      <c r="AM43" s="20"/>
      <c r="AN43" s="20"/>
      <c r="AO43" s="20"/>
      <c r="AP43" s="20"/>
      <c r="AQ43" s="20"/>
      <c r="AR43" s="20"/>
      <c r="AS43" s="20"/>
      <c r="AT43" s="20"/>
      <c r="AU43" s="20"/>
      <c r="AV43" s="20"/>
      <c r="AW43" s="20"/>
      <c r="AX43" s="20"/>
      <c r="AY43" s="20"/>
      <c r="AZ43" s="20"/>
      <c r="BA43" s="20"/>
      <c r="BB43" s="20"/>
      <c r="BC43" s="20"/>
      <c r="BD43" s="20"/>
      <c r="BE43" s="20"/>
      <c r="BF43" s="20"/>
      <c r="BG43" s="20"/>
      <c r="BH43" s="20"/>
      <c r="BI43" s="20"/>
      <c r="BJ43" s="20"/>
      <c r="BK43" s="20"/>
      <c r="BL43" s="20"/>
      <c r="BM43" s="20"/>
      <c r="BN43" s="20"/>
      <c r="BO43" s="20"/>
      <c r="BP43" s="20"/>
      <c r="BQ43" s="20"/>
      <c r="BR43" s="20"/>
      <c r="BS43" s="20"/>
      <c r="BT43" s="20"/>
      <c r="BU43" s="20"/>
      <c r="BV43" s="20"/>
      <c r="BW43" s="20"/>
      <c r="BX43" s="20"/>
      <c r="BY43" s="20"/>
      <c r="BZ43" s="20"/>
      <c r="CA43" s="20"/>
      <c r="CB43" s="20"/>
      <c r="CC43" s="20"/>
      <c r="CD43" s="20"/>
      <c r="CE43" s="20"/>
      <c r="CF43" s="20"/>
      <c r="CG43" s="20"/>
      <c r="CH43" s="20"/>
      <c r="CI43" s="20"/>
      <c r="CJ43" s="20"/>
      <c r="CK43" s="20"/>
      <c r="CL43" s="20"/>
      <c r="CM43" s="20"/>
      <c r="CN43" s="20"/>
      <c r="CO43" s="20"/>
      <c r="CP43" s="20"/>
      <c r="CQ43" s="20"/>
      <c r="CR43" s="20"/>
      <c r="CS43" s="20"/>
      <c r="CT43" s="20"/>
      <c r="CU43" s="20"/>
      <c r="CV43" s="20"/>
      <c r="CW43" s="20"/>
      <c r="CX43" s="20"/>
      <c r="CY43" s="20"/>
      <c r="CZ43" s="20"/>
      <c r="DA43" s="20"/>
      <c r="DB43" s="20"/>
      <c r="DC43" s="20"/>
      <c r="DD43" s="20"/>
      <c r="DE43" s="20"/>
      <c r="DF43" s="20"/>
      <c r="DG43" s="20"/>
      <c r="DH43" s="20"/>
      <c r="DI43" s="20"/>
      <c r="DJ43" s="20"/>
      <c r="DK43" s="20"/>
      <c r="DL43" s="20"/>
      <c r="DM43" s="20"/>
      <c r="DN43" s="20"/>
      <c r="DO43" s="20"/>
      <c r="DP43" s="20"/>
      <c r="DQ43" s="20"/>
      <c r="DR43" s="20"/>
      <c r="DS43" s="20"/>
      <c r="DT43" s="20"/>
      <c r="DU43" s="20"/>
      <c r="DV43" s="20"/>
      <c r="DW43" s="20"/>
      <c r="DX43" s="20"/>
      <c r="DY43" s="20"/>
      <c r="DZ43" s="20"/>
      <c r="EA43" s="20"/>
      <c r="EB43" s="20"/>
      <c r="EC43" s="20"/>
      <c r="ED43" s="20"/>
      <c r="EE43" s="20"/>
      <c r="EF43" s="20"/>
      <c r="EG43" s="20"/>
      <c r="EH43" s="20"/>
      <c r="EI43" s="20"/>
      <c r="EJ43" s="20"/>
      <c r="EK43" s="20"/>
      <c r="EL43" s="20"/>
      <c r="EM43" s="20"/>
      <c r="EN43" s="20"/>
      <c r="EO43" s="20"/>
      <c r="EP43" s="20"/>
      <c r="EQ43" s="20"/>
      <c r="ER43" s="20"/>
      <c r="ES43" s="20"/>
      <c r="ET43" s="20"/>
      <c r="EU43" s="20"/>
      <c r="EV43" s="20"/>
      <c r="EW43" s="20"/>
      <c r="EX43" s="20"/>
      <c r="EY43" s="20"/>
      <c r="EZ43" s="20"/>
      <c r="FA43" s="20"/>
      <c r="FB43" s="20"/>
      <c r="FC43" s="20"/>
      <c r="FD43" s="20"/>
      <c r="FE43" s="20"/>
      <c r="FF43" s="20"/>
      <c r="FG43" s="20"/>
      <c r="FH43" s="20"/>
      <c r="FI43" s="20"/>
      <c r="FJ43" s="20"/>
      <c r="FK43" s="20"/>
      <c r="FL43" s="20"/>
      <c r="FM43" s="20"/>
      <c r="FN43" s="20"/>
      <c r="FO43" s="20"/>
      <c r="FP43" s="20"/>
      <c r="FQ43" s="20"/>
      <c r="FR43" s="20"/>
      <c r="FS43" s="20"/>
      <c r="FT43" s="20"/>
      <c r="FU43" s="20"/>
      <c r="FV43" s="20"/>
      <c r="FW43" s="20"/>
      <c r="FX43" s="20"/>
      <c r="FY43" s="20"/>
      <c r="FZ43" s="20"/>
      <c r="GA43" s="20"/>
      <c r="GB43" s="20"/>
      <c r="GC43" s="20"/>
      <c r="GD43" s="20"/>
      <c r="GE43" s="20"/>
      <c r="GF43" s="20"/>
      <c r="GG43" s="20"/>
      <c r="GH43" s="20"/>
      <c r="GI43" s="20"/>
      <c r="GJ43" s="20"/>
      <c r="GK43" s="20"/>
      <c r="GL43" s="20"/>
      <c r="GM43" s="20"/>
      <c r="GN43" s="20"/>
      <c r="GO43" s="20"/>
      <c r="GP43" s="20"/>
      <c r="GQ43" s="20"/>
      <c r="GR43" s="20"/>
      <c r="GS43" s="20"/>
      <c r="GT43" s="20"/>
      <c r="GU43" s="20"/>
      <c r="GV43" s="20"/>
      <c r="GW43" s="20"/>
      <c r="GX43" s="20"/>
      <c r="GY43" s="20"/>
      <c r="GZ43" s="20"/>
      <c r="HA43" s="20"/>
      <c r="HB43" s="20"/>
      <c r="HC43" s="20"/>
      <c r="HD43" s="20"/>
      <c r="HE43" s="20"/>
      <c r="HF43" s="20"/>
      <c r="HG43" s="20"/>
      <c r="HH43" s="20"/>
      <c r="HI43" s="20"/>
      <c r="HJ43" s="20"/>
      <c r="HK43" s="20"/>
      <c r="HL43" s="20"/>
      <c r="HM43" s="20"/>
    </row>
    <row r="44" spans="1:221" s="11" customFormat="1" ht="55.95" customHeight="1" x14ac:dyDescent="0.3">
      <c r="A44" s="1">
        <v>46</v>
      </c>
      <c r="B44" s="6" t="s">
        <v>50</v>
      </c>
      <c r="C44" s="10" t="s">
        <v>300</v>
      </c>
      <c r="D44" s="7">
        <v>2025</v>
      </c>
      <c r="E44" s="13" t="s">
        <v>56</v>
      </c>
      <c r="F44" s="7">
        <v>1</v>
      </c>
      <c r="G44" s="1" t="str">
        <f t="shared" si="3"/>
        <v>Garcia-Perez A.</v>
      </c>
      <c r="H44" s="15" t="s">
        <v>201</v>
      </c>
      <c r="I44" s="15" t="s">
        <v>122</v>
      </c>
      <c r="J44" s="1" t="str">
        <f t="shared" si="2"/>
        <v>ENG</v>
      </c>
      <c r="K44" s="1" t="s">
        <v>222</v>
      </c>
      <c r="L44" s="1" t="s">
        <v>402</v>
      </c>
      <c r="M44" s="1" t="s">
        <v>425</v>
      </c>
      <c r="N44" s="1" t="s">
        <v>383</v>
      </c>
      <c r="O44" s="1" t="s">
        <v>498</v>
      </c>
      <c r="P44" s="1" t="s">
        <v>389</v>
      </c>
      <c r="Q44" s="1"/>
      <c r="R44" s="1" t="s">
        <v>433</v>
      </c>
      <c r="S44" s="6" t="s">
        <v>1925</v>
      </c>
      <c r="T44" s="6" t="s">
        <v>1926</v>
      </c>
      <c r="U44" s="6"/>
      <c r="V44" s="6" t="s">
        <v>1927</v>
      </c>
      <c r="W44" s="15" t="s">
        <v>497</v>
      </c>
      <c r="X44" s="6" t="s">
        <v>1928</v>
      </c>
      <c r="Y44" s="6" t="s">
        <v>499</v>
      </c>
      <c r="Z44" s="1">
        <v>4</v>
      </c>
      <c r="AA44" s="1">
        <v>3</v>
      </c>
      <c r="AB44" s="7" t="s">
        <v>566</v>
      </c>
      <c r="AC44" s="1" t="s">
        <v>578</v>
      </c>
      <c r="AD44" s="1" t="s">
        <v>573</v>
      </c>
      <c r="AE44" s="1" t="s">
        <v>225</v>
      </c>
      <c r="AF44" s="6"/>
      <c r="AG44" s="6" t="s">
        <v>669</v>
      </c>
      <c r="AH44" s="6" t="s">
        <v>670</v>
      </c>
      <c r="AI44" s="6"/>
      <c r="AJ44" s="20"/>
      <c r="AK44" s="23" cm="1">
        <f t="array" ref="AK44">_xlfn.IFS(AC44="Principles observation",1, AC44="Concept formulation",2, AC44="Proof-of-concept simulation", 3, AC44="Core function validation", 4, AC44="Integration component testing", 5, AC44="Component validation in relevant environment", 6, AC44="Subsystem demonstration in relevant environment", 7, AC44="System demonstration in operational environment", 8, AC44="Production qualification", 9, AC44="Mission-proven operations", 10)</f>
        <v>4</v>
      </c>
      <c r="AL44" s="23" cm="1">
        <f t="array" ref="AL44">_xlfn.IFS(AD44="Assistive GenAI", 1, AD44="GenAI-led with human oversight", 2, AD44="Autonomous process learning", 3)</f>
        <v>1</v>
      </c>
      <c r="AM44" s="20"/>
      <c r="AN44" s="20"/>
      <c r="AO44" s="20"/>
      <c r="AP44" s="20"/>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c r="BO44" s="20"/>
      <c r="BP44" s="20"/>
      <c r="BQ44" s="20"/>
      <c r="BR44" s="20"/>
      <c r="BS44" s="20"/>
      <c r="BT44" s="20"/>
      <c r="BU44" s="20"/>
      <c r="BV44" s="20"/>
      <c r="BW44" s="20"/>
      <c r="BX44" s="20"/>
      <c r="BY44" s="20"/>
      <c r="BZ44" s="20"/>
      <c r="CA44" s="20"/>
      <c r="CB44" s="20"/>
      <c r="CC44" s="20"/>
      <c r="CD44" s="20"/>
      <c r="CE44" s="20"/>
      <c r="CF44" s="20"/>
      <c r="CG44" s="20"/>
      <c r="CH44" s="20"/>
      <c r="CI44" s="20"/>
      <c r="CJ44" s="20"/>
      <c r="CK44" s="20"/>
      <c r="CL44" s="20"/>
      <c r="CM44" s="20"/>
      <c r="CN44" s="20"/>
      <c r="CO44" s="20"/>
      <c r="CP44" s="20"/>
      <c r="CQ44" s="20"/>
      <c r="CR44" s="20"/>
      <c r="CS44" s="20"/>
      <c r="CT44" s="20"/>
      <c r="CU44" s="20"/>
      <c r="CV44" s="20"/>
      <c r="CW44" s="20"/>
      <c r="CX44" s="20"/>
      <c r="CY44" s="20"/>
      <c r="CZ44" s="20"/>
      <c r="DA44" s="20"/>
      <c r="DB44" s="20"/>
      <c r="DC44" s="20"/>
      <c r="DD44" s="20"/>
      <c r="DE44" s="20"/>
      <c r="DF44" s="20"/>
      <c r="DG44" s="20"/>
      <c r="DH44" s="20"/>
      <c r="DI44" s="20"/>
      <c r="DJ44" s="20"/>
      <c r="DK44" s="20"/>
      <c r="DL44" s="20"/>
      <c r="DM44" s="20"/>
      <c r="DN44" s="20"/>
      <c r="DO44" s="20"/>
      <c r="DP44" s="20"/>
      <c r="DQ44" s="20"/>
      <c r="DR44" s="20"/>
      <c r="DS44" s="20"/>
      <c r="DT44" s="20"/>
      <c r="DU44" s="20"/>
      <c r="DV44" s="20"/>
      <c r="DW44" s="20"/>
      <c r="DX44" s="20"/>
      <c r="DY44" s="20"/>
      <c r="DZ44" s="20"/>
      <c r="EA44" s="20"/>
      <c r="EB44" s="20"/>
      <c r="EC44" s="20"/>
      <c r="ED44" s="20"/>
      <c r="EE44" s="20"/>
      <c r="EF44" s="20"/>
      <c r="EG44" s="20"/>
      <c r="EH44" s="20"/>
      <c r="EI44" s="20"/>
      <c r="EJ44" s="20"/>
      <c r="EK44" s="20"/>
      <c r="EL44" s="20"/>
      <c r="EM44" s="20"/>
      <c r="EN44" s="20"/>
      <c r="EO44" s="20"/>
      <c r="EP44" s="20"/>
      <c r="EQ44" s="20"/>
      <c r="ER44" s="20"/>
      <c r="ES44" s="20"/>
      <c r="ET44" s="20"/>
      <c r="EU44" s="20"/>
      <c r="EV44" s="20"/>
      <c r="EW44" s="20"/>
      <c r="EX44" s="20"/>
      <c r="EY44" s="20"/>
      <c r="EZ44" s="20"/>
      <c r="FA44" s="20"/>
      <c r="FB44" s="20"/>
      <c r="FC44" s="20"/>
      <c r="FD44" s="20"/>
      <c r="FE44" s="20"/>
      <c r="FF44" s="20"/>
      <c r="FG44" s="20"/>
      <c r="FH44" s="20"/>
      <c r="FI44" s="20"/>
      <c r="FJ44" s="20"/>
      <c r="FK44" s="20"/>
      <c r="FL44" s="20"/>
      <c r="FM44" s="20"/>
      <c r="FN44" s="20"/>
      <c r="FO44" s="20"/>
      <c r="FP44" s="20"/>
      <c r="FQ44" s="20"/>
      <c r="FR44" s="20"/>
      <c r="FS44" s="20"/>
      <c r="FT44" s="20"/>
      <c r="FU44" s="20"/>
      <c r="FV44" s="20"/>
      <c r="FW44" s="20"/>
      <c r="FX44" s="20"/>
      <c r="FY44" s="20"/>
      <c r="FZ44" s="20"/>
      <c r="GA44" s="20"/>
      <c r="GB44" s="20"/>
      <c r="GC44" s="20"/>
      <c r="GD44" s="20"/>
      <c r="GE44" s="20"/>
      <c r="GF44" s="20"/>
      <c r="GG44" s="20"/>
      <c r="GH44" s="20"/>
      <c r="GI44" s="20"/>
      <c r="GJ44" s="20"/>
      <c r="GK44" s="20"/>
      <c r="GL44" s="20"/>
      <c r="GM44" s="20"/>
      <c r="GN44" s="20"/>
      <c r="GO44" s="20"/>
      <c r="GP44" s="20"/>
      <c r="GQ44" s="20"/>
      <c r="GR44" s="20"/>
      <c r="GS44" s="20"/>
      <c r="GT44" s="20"/>
      <c r="GU44" s="20"/>
      <c r="GV44" s="20"/>
      <c r="GW44" s="20"/>
      <c r="GX44" s="20"/>
      <c r="GY44" s="20"/>
      <c r="GZ44" s="20"/>
      <c r="HA44" s="20"/>
      <c r="HB44" s="20"/>
      <c r="HC44" s="20"/>
      <c r="HD44" s="20"/>
      <c r="HE44" s="20"/>
      <c r="HF44" s="20"/>
      <c r="HG44" s="20"/>
      <c r="HH44" s="20"/>
      <c r="HI44" s="20"/>
      <c r="HJ44" s="20"/>
      <c r="HK44" s="20"/>
      <c r="HL44" s="20"/>
      <c r="HM44" s="20"/>
    </row>
    <row r="45" spans="1:221" s="11" customFormat="1" ht="55.95" customHeight="1" x14ac:dyDescent="0.3">
      <c r="A45" s="1">
        <v>47</v>
      </c>
      <c r="B45" s="6" t="s">
        <v>10</v>
      </c>
      <c r="C45" s="10" t="s">
        <v>303</v>
      </c>
      <c r="D45" s="7">
        <v>2025</v>
      </c>
      <c r="E45" s="13" t="s">
        <v>59</v>
      </c>
      <c r="F45" s="7">
        <v>1</v>
      </c>
      <c r="G45" s="1" t="str">
        <f t="shared" si="3"/>
        <v>Shim M.</v>
      </c>
      <c r="H45" s="15" t="s">
        <v>179</v>
      </c>
      <c r="I45" s="15" t="s">
        <v>80</v>
      </c>
      <c r="J45" s="1" t="str">
        <f t="shared" si="2"/>
        <v>ENG</v>
      </c>
      <c r="K45" s="1" t="s">
        <v>222</v>
      </c>
      <c r="L45" s="1" t="s">
        <v>402</v>
      </c>
      <c r="M45" s="1" t="s">
        <v>425</v>
      </c>
      <c r="N45" s="1" t="s">
        <v>383</v>
      </c>
      <c r="O45" s="1" t="s">
        <v>501</v>
      </c>
      <c r="P45" s="1" t="s">
        <v>398</v>
      </c>
      <c r="Q45" s="1"/>
      <c r="R45" s="1" t="s">
        <v>483</v>
      </c>
      <c r="S45" s="6" t="s">
        <v>1929</v>
      </c>
      <c r="T45" s="6" t="s">
        <v>1930</v>
      </c>
      <c r="U45" s="6" t="s">
        <v>1931</v>
      </c>
      <c r="V45" s="6" t="s">
        <v>1932</v>
      </c>
      <c r="W45" s="15" t="s">
        <v>502</v>
      </c>
      <c r="X45" s="6" t="s">
        <v>1933</v>
      </c>
      <c r="Y45" s="6" t="s">
        <v>503</v>
      </c>
      <c r="Z45" s="1">
        <v>4</v>
      </c>
      <c r="AA45" s="1">
        <v>3</v>
      </c>
      <c r="AB45" s="7" t="s">
        <v>566</v>
      </c>
      <c r="AC45" s="1" t="s">
        <v>578</v>
      </c>
      <c r="AD45" s="1" t="s">
        <v>573</v>
      </c>
      <c r="AE45" s="1" t="s">
        <v>225</v>
      </c>
      <c r="AF45" s="6"/>
      <c r="AG45" s="6" t="s">
        <v>671</v>
      </c>
      <c r="AH45" s="6" t="s">
        <v>672</v>
      </c>
      <c r="AI45" s="6"/>
      <c r="AJ45" s="20"/>
      <c r="AK45" s="23" cm="1">
        <f t="array" ref="AK45">_xlfn.IFS(AC45="Principles observation",1, AC45="Concept formulation",2, AC45="Proof-of-concept simulation", 3, AC45="Core function validation", 4, AC45="Integration component testing", 5, AC45="Component validation in relevant environment", 6, AC45="Subsystem demonstration in relevant environment", 7, AC45="System demonstration in operational environment", 8, AC45="Production qualification", 9, AC45="Mission-proven operations", 10)</f>
        <v>4</v>
      </c>
      <c r="AL45" s="23" cm="1">
        <f t="array" ref="AL45">_xlfn.IFS(AD45="Assistive GenAI", 1, AD45="GenAI-led with human oversight", 2, AD45="Autonomous process learning", 3)</f>
        <v>1</v>
      </c>
      <c r="AM45" s="20"/>
      <c r="AN45" s="20"/>
      <c r="AO45" s="20"/>
      <c r="AP45" s="20"/>
      <c r="AQ45" s="20"/>
      <c r="AR45" s="20"/>
      <c r="AS45" s="20"/>
      <c r="AT45" s="20"/>
      <c r="AU45" s="20"/>
      <c r="AV45" s="20"/>
      <c r="AW45" s="20"/>
      <c r="AX45" s="20"/>
      <c r="AY45" s="20"/>
      <c r="AZ45" s="20"/>
      <c r="BA45" s="20"/>
      <c r="BB45" s="20"/>
      <c r="BC45" s="20"/>
      <c r="BD45" s="20"/>
      <c r="BE45" s="20"/>
      <c r="BF45" s="20"/>
      <c r="BG45" s="20"/>
      <c r="BH45" s="20"/>
      <c r="BI45" s="20"/>
      <c r="BJ45" s="20"/>
      <c r="BK45" s="20"/>
      <c r="BL45" s="20"/>
      <c r="BM45" s="20"/>
      <c r="BN45" s="20"/>
      <c r="BO45" s="20"/>
      <c r="BP45" s="20"/>
      <c r="BQ45" s="20"/>
      <c r="BR45" s="20"/>
      <c r="BS45" s="20"/>
      <c r="BT45" s="20"/>
      <c r="BU45" s="20"/>
      <c r="BV45" s="20"/>
      <c r="BW45" s="20"/>
      <c r="BX45" s="20"/>
      <c r="BY45" s="20"/>
      <c r="BZ45" s="20"/>
      <c r="CA45" s="20"/>
      <c r="CB45" s="20"/>
      <c r="CC45" s="20"/>
      <c r="CD45" s="20"/>
      <c r="CE45" s="20"/>
      <c r="CF45" s="20"/>
      <c r="CG45" s="20"/>
      <c r="CH45" s="20"/>
      <c r="CI45" s="20"/>
      <c r="CJ45" s="20"/>
      <c r="CK45" s="20"/>
      <c r="CL45" s="20"/>
      <c r="CM45" s="20"/>
      <c r="CN45" s="20"/>
      <c r="CO45" s="20"/>
      <c r="CP45" s="20"/>
      <c r="CQ45" s="20"/>
      <c r="CR45" s="20"/>
      <c r="CS45" s="20"/>
      <c r="CT45" s="20"/>
      <c r="CU45" s="20"/>
      <c r="CV45" s="20"/>
      <c r="CW45" s="20"/>
      <c r="CX45" s="20"/>
      <c r="CY45" s="20"/>
      <c r="CZ45" s="20"/>
      <c r="DA45" s="20"/>
      <c r="DB45" s="20"/>
      <c r="DC45" s="20"/>
      <c r="DD45" s="20"/>
      <c r="DE45" s="20"/>
      <c r="DF45" s="20"/>
      <c r="DG45" s="20"/>
      <c r="DH45" s="20"/>
      <c r="DI45" s="20"/>
      <c r="DJ45" s="20"/>
      <c r="DK45" s="20"/>
      <c r="DL45" s="20"/>
      <c r="DM45" s="20"/>
      <c r="DN45" s="20"/>
      <c r="DO45" s="20"/>
      <c r="DP45" s="20"/>
      <c r="DQ45" s="20"/>
      <c r="DR45" s="20"/>
      <c r="DS45" s="20"/>
      <c r="DT45" s="20"/>
      <c r="DU45" s="20"/>
      <c r="DV45" s="20"/>
      <c r="DW45" s="20"/>
      <c r="DX45" s="20"/>
      <c r="DY45" s="20"/>
      <c r="DZ45" s="20"/>
      <c r="EA45" s="20"/>
      <c r="EB45" s="20"/>
      <c r="EC45" s="20"/>
      <c r="ED45" s="20"/>
      <c r="EE45" s="20"/>
      <c r="EF45" s="20"/>
      <c r="EG45" s="20"/>
      <c r="EH45" s="20"/>
      <c r="EI45" s="20"/>
      <c r="EJ45" s="20"/>
      <c r="EK45" s="20"/>
      <c r="EL45" s="20"/>
      <c r="EM45" s="20"/>
      <c r="EN45" s="20"/>
      <c r="EO45" s="20"/>
      <c r="EP45" s="20"/>
      <c r="EQ45" s="20"/>
      <c r="ER45" s="20"/>
      <c r="ES45" s="20"/>
      <c r="ET45" s="20"/>
      <c r="EU45" s="20"/>
      <c r="EV45" s="20"/>
      <c r="EW45" s="20"/>
      <c r="EX45" s="20"/>
      <c r="EY45" s="20"/>
      <c r="EZ45" s="20"/>
      <c r="FA45" s="20"/>
      <c r="FB45" s="20"/>
      <c r="FC45" s="20"/>
      <c r="FD45" s="20"/>
      <c r="FE45" s="20"/>
      <c r="FF45" s="20"/>
      <c r="FG45" s="20"/>
      <c r="FH45" s="20"/>
      <c r="FI45" s="20"/>
      <c r="FJ45" s="20"/>
      <c r="FK45" s="20"/>
      <c r="FL45" s="20"/>
      <c r="FM45" s="20"/>
      <c r="FN45" s="20"/>
      <c r="FO45" s="20"/>
      <c r="FP45" s="20"/>
      <c r="FQ45" s="20"/>
      <c r="FR45" s="20"/>
      <c r="FS45" s="20"/>
      <c r="FT45" s="20"/>
      <c r="FU45" s="20"/>
      <c r="FV45" s="20"/>
      <c r="FW45" s="20"/>
      <c r="FX45" s="20"/>
      <c r="FY45" s="20"/>
      <c r="FZ45" s="20"/>
      <c r="GA45" s="20"/>
      <c r="GB45" s="20"/>
      <c r="GC45" s="20"/>
      <c r="GD45" s="20"/>
      <c r="GE45" s="20"/>
      <c r="GF45" s="20"/>
      <c r="GG45" s="20"/>
      <c r="GH45" s="20"/>
      <c r="GI45" s="20"/>
      <c r="GJ45" s="20"/>
      <c r="GK45" s="20"/>
      <c r="GL45" s="20"/>
      <c r="GM45" s="20"/>
      <c r="GN45" s="20"/>
      <c r="GO45" s="20"/>
      <c r="GP45" s="20"/>
      <c r="GQ45" s="20"/>
      <c r="GR45" s="20"/>
      <c r="GS45" s="20"/>
      <c r="GT45" s="20"/>
      <c r="GU45" s="20"/>
      <c r="GV45" s="20"/>
      <c r="GW45" s="20"/>
      <c r="GX45" s="20"/>
      <c r="GY45" s="20"/>
      <c r="GZ45" s="20"/>
      <c r="HA45" s="20"/>
      <c r="HB45" s="20"/>
      <c r="HC45" s="20"/>
      <c r="HD45" s="20"/>
      <c r="HE45" s="20"/>
      <c r="HF45" s="20"/>
      <c r="HG45" s="20"/>
      <c r="HH45" s="20"/>
      <c r="HI45" s="20"/>
      <c r="HJ45" s="20"/>
      <c r="HK45" s="20"/>
      <c r="HL45" s="20"/>
      <c r="HM45" s="20"/>
    </row>
    <row r="46" spans="1:221" s="11" customFormat="1" ht="55.95" customHeight="1" x14ac:dyDescent="0.3">
      <c r="A46" s="1">
        <v>48</v>
      </c>
      <c r="B46" s="6" t="s">
        <v>243</v>
      </c>
      <c r="C46" s="10" t="s">
        <v>304</v>
      </c>
      <c r="D46" s="7">
        <v>2025</v>
      </c>
      <c r="E46" s="13" t="s">
        <v>63</v>
      </c>
      <c r="F46" s="7">
        <v>1</v>
      </c>
      <c r="G46" s="1" t="str">
        <f t="shared" si="3"/>
        <v>Feng P.</v>
      </c>
      <c r="H46" s="15" t="s">
        <v>352</v>
      </c>
      <c r="I46" s="15" t="s">
        <v>368</v>
      </c>
      <c r="J46" s="1" t="str">
        <f t="shared" si="2"/>
        <v>ENG</v>
      </c>
      <c r="K46" s="1" t="s">
        <v>222</v>
      </c>
      <c r="L46" s="1" t="s">
        <v>402</v>
      </c>
      <c r="M46" s="1" t="s">
        <v>425</v>
      </c>
      <c r="N46" s="1" t="s">
        <v>387</v>
      </c>
      <c r="O46" s="1" t="s">
        <v>507</v>
      </c>
      <c r="P46" s="1"/>
      <c r="Q46" s="1"/>
      <c r="R46" s="1" t="s">
        <v>423</v>
      </c>
      <c r="S46" s="6" t="s">
        <v>1934</v>
      </c>
      <c r="T46" s="6" t="s">
        <v>1935</v>
      </c>
      <c r="U46" s="6" t="s">
        <v>1936</v>
      </c>
      <c r="V46" s="6" t="s">
        <v>1937</v>
      </c>
      <c r="W46" s="15" t="s">
        <v>505</v>
      </c>
      <c r="X46" s="6" t="s">
        <v>1938</v>
      </c>
      <c r="Y46" s="6" t="s">
        <v>506</v>
      </c>
      <c r="Z46" s="1">
        <v>4</v>
      </c>
      <c r="AA46" s="1">
        <v>2</v>
      </c>
      <c r="AB46" s="1" t="s">
        <v>602</v>
      </c>
      <c r="AC46" s="1" t="s">
        <v>587</v>
      </c>
      <c r="AD46" s="1" t="s">
        <v>575</v>
      </c>
      <c r="AE46" s="1" t="s">
        <v>225</v>
      </c>
      <c r="AF46" s="6"/>
      <c r="AG46" s="6" t="s">
        <v>673</v>
      </c>
      <c r="AH46" s="6" t="s">
        <v>674</v>
      </c>
      <c r="AI46" s="6"/>
      <c r="AJ46" s="20"/>
      <c r="AK46" s="23" cm="1">
        <f t="array" ref="AK46">_xlfn.IFS(AC46="Principles observation",1, AC46="Concept formulation",2, AC46="Proof-of-concept simulation", 3, AC46="Core function validation", 4, AC46="Integration component testing", 5, AC46="Component validation in relevant environment", 6, AC46="Subsystem demonstration in relevant environment", 7, AC46="System demonstration in operational environment", 8, AC46="Production qualification", 9, AC46="Mission-proven operations", 10)</f>
        <v>3</v>
      </c>
      <c r="AL46" s="23" cm="1">
        <f t="array" ref="AL46">_xlfn.IFS(AD46="Assistive GenAI", 1, AD46="GenAI-led with human oversight", 2, AD46="Autonomous process learning", 3)</f>
        <v>3</v>
      </c>
      <c r="AM46" s="20"/>
      <c r="AN46" s="20"/>
      <c r="AO46" s="20"/>
      <c r="AP46" s="20"/>
      <c r="AQ46" s="20"/>
      <c r="AR46" s="20"/>
      <c r="AS46" s="20"/>
      <c r="AT46" s="20"/>
      <c r="AU46" s="20"/>
      <c r="AV46" s="20"/>
      <c r="AW46" s="20"/>
      <c r="AX46" s="20"/>
      <c r="AY46" s="20"/>
      <c r="AZ46" s="20"/>
      <c r="BA46" s="20"/>
      <c r="BB46" s="20"/>
      <c r="BC46" s="20"/>
      <c r="BD46" s="20"/>
      <c r="BE46" s="20"/>
      <c r="BF46" s="20"/>
      <c r="BG46" s="20"/>
      <c r="BH46" s="20"/>
      <c r="BI46" s="20"/>
      <c r="BJ46" s="20"/>
      <c r="BK46" s="20"/>
      <c r="BL46" s="20"/>
      <c r="BM46" s="20"/>
      <c r="BN46" s="20"/>
      <c r="BO46" s="20"/>
      <c r="BP46" s="20"/>
      <c r="BQ46" s="20"/>
      <c r="BR46" s="20"/>
      <c r="BS46" s="20"/>
      <c r="BT46" s="20"/>
      <c r="BU46" s="20"/>
      <c r="BV46" s="20"/>
      <c r="BW46" s="20"/>
      <c r="BX46" s="20"/>
      <c r="BY46" s="20"/>
      <c r="BZ46" s="20"/>
      <c r="CA46" s="20"/>
      <c r="CB46" s="20"/>
      <c r="CC46" s="20"/>
      <c r="CD46" s="20"/>
      <c r="CE46" s="20"/>
      <c r="CF46" s="20"/>
      <c r="CG46" s="20"/>
      <c r="CH46" s="20"/>
      <c r="CI46" s="20"/>
      <c r="CJ46" s="20"/>
      <c r="CK46" s="20"/>
      <c r="CL46" s="20"/>
      <c r="CM46" s="20"/>
      <c r="CN46" s="20"/>
      <c r="CO46" s="20"/>
      <c r="CP46" s="20"/>
      <c r="CQ46" s="20"/>
      <c r="CR46" s="20"/>
      <c r="CS46" s="20"/>
      <c r="CT46" s="20"/>
      <c r="CU46" s="20"/>
      <c r="CV46" s="20"/>
      <c r="CW46" s="20"/>
      <c r="CX46" s="20"/>
      <c r="CY46" s="20"/>
      <c r="CZ46" s="20"/>
      <c r="DA46" s="20"/>
      <c r="DB46" s="20"/>
      <c r="DC46" s="20"/>
      <c r="DD46" s="20"/>
      <c r="DE46" s="20"/>
      <c r="DF46" s="20"/>
      <c r="DG46" s="20"/>
      <c r="DH46" s="20"/>
      <c r="DI46" s="20"/>
      <c r="DJ46" s="20"/>
      <c r="DK46" s="20"/>
      <c r="DL46" s="20"/>
      <c r="DM46" s="20"/>
      <c r="DN46" s="20"/>
      <c r="DO46" s="20"/>
      <c r="DP46" s="20"/>
      <c r="DQ46" s="20"/>
      <c r="DR46" s="20"/>
      <c r="DS46" s="20"/>
      <c r="DT46" s="20"/>
      <c r="DU46" s="20"/>
      <c r="DV46" s="20"/>
      <c r="DW46" s="20"/>
      <c r="DX46" s="20"/>
      <c r="DY46" s="20"/>
      <c r="DZ46" s="20"/>
      <c r="EA46" s="20"/>
      <c r="EB46" s="20"/>
      <c r="EC46" s="20"/>
      <c r="ED46" s="20"/>
      <c r="EE46" s="20"/>
      <c r="EF46" s="20"/>
      <c r="EG46" s="20"/>
      <c r="EH46" s="20"/>
      <c r="EI46" s="20"/>
      <c r="EJ46" s="20"/>
      <c r="EK46" s="20"/>
      <c r="EL46" s="20"/>
      <c r="EM46" s="20"/>
      <c r="EN46" s="20"/>
      <c r="EO46" s="20"/>
      <c r="EP46" s="20"/>
      <c r="EQ46" s="20"/>
      <c r="ER46" s="20"/>
      <c r="ES46" s="20"/>
      <c r="ET46" s="20"/>
      <c r="EU46" s="20"/>
      <c r="EV46" s="20"/>
      <c r="EW46" s="20"/>
      <c r="EX46" s="20"/>
      <c r="EY46" s="20"/>
      <c r="EZ46" s="20"/>
      <c r="FA46" s="20"/>
      <c r="FB46" s="20"/>
      <c r="FC46" s="20"/>
      <c r="FD46" s="20"/>
      <c r="FE46" s="20"/>
      <c r="FF46" s="20"/>
      <c r="FG46" s="20"/>
      <c r="FH46" s="20"/>
      <c r="FI46" s="20"/>
      <c r="FJ46" s="20"/>
      <c r="FK46" s="20"/>
      <c r="FL46" s="20"/>
      <c r="FM46" s="20"/>
      <c r="FN46" s="20"/>
      <c r="FO46" s="20"/>
      <c r="FP46" s="20"/>
      <c r="FQ46" s="20"/>
      <c r="FR46" s="20"/>
      <c r="FS46" s="20"/>
      <c r="FT46" s="20"/>
      <c r="FU46" s="20"/>
      <c r="FV46" s="20"/>
      <c r="FW46" s="20"/>
      <c r="FX46" s="20"/>
      <c r="FY46" s="20"/>
      <c r="FZ46" s="20"/>
      <c r="GA46" s="20"/>
      <c r="GB46" s="20"/>
      <c r="GC46" s="20"/>
      <c r="GD46" s="20"/>
      <c r="GE46" s="20"/>
      <c r="GF46" s="20"/>
      <c r="GG46" s="20"/>
      <c r="GH46" s="20"/>
      <c r="GI46" s="20"/>
      <c r="GJ46" s="20"/>
      <c r="GK46" s="20"/>
      <c r="GL46" s="20"/>
      <c r="GM46" s="20"/>
      <c r="GN46" s="20"/>
      <c r="GO46" s="20"/>
      <c r="GP46" s="20"/>
      <c r="GQ46" s="20"/>
      <c r="GR46" s="20"/>
      <c r="GS46" s="20"/>
      <c r="GT46" s="20"/>
      <c r="GU46" s="20"/>
      <c r="GV46" s="20"/>
      <c r="GW46" s="20"/>
      <c r="GX46" s="20"/>
      <c r="GY46" s="20"/>
      <c r="GZ46" s="20"/>
      <c r="HA46" s="20"/>
      <c r="HB46" s="20"/>
      <c r="HC46" s="20"/>
      <c r="HD46" s="20"/>
      <c r="HE46" s="20"/>
      <c r="HF46" s="20"/>
      <c r="HG46" s="20"/>
      <c r="HH46" s="20"/>
      <c r="HI46" s="20"/>
      <c r="HJ46" s="20"/>
      <c r="HK46" s="20"/>
      <c r="HL46" s="20"/>
      <c r="HM46" s="20"/>
    </row>
    <row r="47" spans="1:221" s="11" customFormat="1" ht="55.95" customHeight="1" x14ac:dyDescent="0.3">
      <c r="A47" s="1">
        <v>49</v>
      </c>
      <c r="B47" s="6" t="s">
        <v>229</v>
      </c>
      <c r="C47" s="10" t="s">
        <v>249</v>
      </c>
      <c r="D47" s="7">
        <v>2025</v>
      </c>
      <c r="E47" s="13" t="s">
        <v>67</v>
      </c>
      <c r="F47" s="7">
        <v>0</v>
      </c>
      <c r="G47" s="1" t="str">
        <f t="shared" si="3"/>
        <v>Shi D.</v>
      </c>
      <c r="H47" s="15" t="s">
        <v>186</v>
      </c>
      <c r="I47" s="15" t="s">
        <v>358</v>
      </c>
      <c r="J47" s="1" t="str">
        <f t="shared" si="2"/>
        <v>ENG</v>
      </c>
      <c r="K47" s="1" t="s">
        <v>222</v>
      </c>
      <c r="L47" s="1" t="s">
        <v>402</v>
      </c>
      <c r="M47" s="1" t="s">
        <v>425</v>
      </c>
      <c r="N47" s="1"/>
      <c r="O47" s="1" t="s">
        <v>478</v>
      </c>
      <c r="P47" s="1" t="s">
        <v>457</v>
      </c>
      <c r="Q47" s="1"/>
      <c r="R47" s="1" t="s">
        <v>403</v>
      </c>
      <c r="S47" s="6" t="s">
        <v>1939</v>
      </c>
      <c r="T47" s="6" t="s">
        <v>1940</v>
      </c>
      <c r="U47" s="6"/>
      <c r="V47" s="6" t="s">
        <v>1941</v>
      </c>
      <c r="W47" s="15" t="s">
        <v>508</v>
      </c>
      <c r="X47" s="6" t="s">
        <v>1942</v>
      </c>
      <c r="Y47" s="6" t="s">
        <v>509</v>
      </c>
      <c r="Z47" s="1">
        <v>4</v>
      </c>
      <c r="AA47" s="1">
        <v>3</v>
      </c>
      <c r="AB47" s="7" t="s">
        <v>566</v>
      </c>
      <c r="AC47" s="1" t="s">
        <v>578</v>
      </c>
      <c r="AD47" s="1" t="s">
        <v>573</v>
      </c>
      <c r="AE47" s="1" t="s">
        <v>218</v>
      </c>
      <c r="AF47" s="6" t="s">
        <v>609</v>
      </c>
      <c r="AG47" s="6" t="s">
        <v>676</v>
      </c>
      <c r="AH47" s="6" t="s">
        <v>675</v>
      </c>
      <c r="AI47" s="6"/>
      <c r="AJ47" s="20"/>
      <c r="AK47" s="23" cm="1">
        <f t="array" ref="AK47">_xlfn.IFS(AC47="Principles observation",1, AC47="Concept formulation",2, AC47="Proof-of-concept simulation", 3, AC47="Core function validation", 4, AC47="Integration component testing", 5, AC47="Component validation in relevant environment", 6, AC47="Subsystem demonstration in relevant environment", 7, AC47="System demonstration in operational environment", 8, AC47="Production qualification", 9, AC47="Mission-proven operations", 10)</f>
        <v>4</v>
      </c>
      <c r="AL47" s="23" cm="1">
        <f t="array" ref="AL47">_xlfn.IFS(AD47="Assistive GenAI", 1, AD47="GenAI-led with human oversight", 2, AD47="Autonomous process learning", 3)</f>
        <v>1</v>
      </c>
      <c r="AM47" s="20"/>
      <c r="AN47" s="20"/>
      <c r="AO47" s="20"/>
      <c r="AP47" s="20"/>
      <c r="AQ47" s="20"/>
      <c r="AR47" s="20"/>
      <c r="AS47" s="20"/>
      <c r="AT47" s="20"/>
      <c r="AU47" s="20"/>
      <c r="AV47" s="20"/>
      <c r="AW47" s="20"/>
      <c r="AX47" s="20"/>
      <c r="AY47" s="20"/>
      <c r="AZ47" s="20"/>
      <c r="BA47" s="20"/>
      <c r="BB47" s="20"/>
      <c r="BC47" s="20"/>
      <c r="BD47" s="20"/>
      <c r="BE47" s="20"/>
      <c r="BF47" s="20"/>
      <c r="BG47" s="20"/>
      <c r="BH47" s="20"/>
      <c r="BI47" s="20"/>
      <c r="BJ47" s="20"/>
      <c r="BK47" s="20"/>
      <c r="BL47" s="20"/>
      <c r="BM47" s="20"/>
      <c r="BN47" s="20"/>
      <c r="BO47" s="20"/>
      <c r="BP47" s="20"/>
      <c r="BQ47" s="20"/>
      <c r="BR47" s="20"/>
      <c r="BS47" s="20"/>
      <c r="BT47" s="20"/>
      <c r="BU47" s="20"/>
      <c r="BV47" s="20"/>
      <c r="BW47" s="20"/>
      <c r="BX47" s="20"/>
      <c r="BY47" s="20"/>
      <c r="BZ47" s="20"/>
      <c r="CA47" s="20"/>
      <c r="CB47" s="20"/>
      <c r="CC47" s="20"/>
      <c r="CD47" s="20"/>
      <c r="CE47" s="20"/>
      <c r="CF47" s="20"/>
      <c r="CG47" s="20"/>
      <c r="CH47" s="20"/>
      <c r="CI47" s="20"/>
      <c r="CJ47" s="20"/>
      <c r="CK47" s="20"/>
      <c r="CL47" s="20"/>
      <c r="CM47" s="20"/>
      <c r="CN47" s="20"/>
      <c r="CO47" s="20"/>
      <c r="CP47" s="20"/>
      <c r="CQ47" s="20"/>
      <c r="CR47" s="20"/>
      <c r="CS47" s="20"/>
      <c r="CT47" s="20"/>
      <c r="CU47" s="20"/>
      <c r="CV47" s="20"/>
      <c r="CW47" s="20"/>
      <c r="CX47" s="20"/>
      <c r="CY47" s="20"/>
      <c r="CZ47" s="20"/>
      <c r="DA47" s="20"/>
      <c r="DB47" s="20"/>
      <c r="DC47" s="20"/>
      <c r="DD47" s="20"/>
      <c r="DE47" s="20"/>
      <c r="DF47" s="20"/>
      <c r="DG47" s="20"/>
      <c r="DH47" s="20"/>
      <c r="DI47" s="20"/>
      <c r="DJ47" s="20"/>
      <c r="DK47" s="20"/>
      <c r="DL47" s="20"/>
      <c r="DM47" s="20"/>
      <c r="DN47" s="20"/>
      <c r="DO47" s="20"/>
      <c r="DP47" s="20"/>
      <c r="DQ47" s="20"/>
      <c r="DR47" s="20"/>
      <c r="DS47" s="20"/>
      <c r="DT47" s="20"/>
      <c r="DU47" s="20"/>
      <c r="DV47" s="20"/>
      <c r="DW47" s="20"/>
      <c r="DX47" s="20"/>
      <c r="DY47" s="20"/>
      <c r="DZ47" s="20"/>
      <c r="EA47" s="20"/>
      <c r="EB47" s="20"/>
      <c r="EC47" s="20"/>
      <c r="ED47" s="20"/>
      <c r="EE47" s="20"/>
      <c r="EF47" s="20"/>
      <c r="EG47" s="20"/>
      <c r="EH47" s="20"/>
      <c r="EI47" s="20"/>
      <c r="EJ47" s="20"/>
      <c r="EK47" s="20"/>
      <c r="EL47" s="20"/>
      <c r="EM47" s="20"/>
      <c r="EN47" s="20"/>
      <c r="EO47" s="20"/>
      <c r="EP47" s="20"/>
      <c r="EQ47" s="20"/>
      <c r="ER47" s="20"/>
      <c r="ES47" s="20"/>
      <c r="ET47" s="20"/>
      <c r="EU47" s="20"/>
      <c r="EV47" s="20"/>
      <c r="EW47" s="20"/>
      <c r="EX47" s="20"/>
      <c r="EY47" s="20"/>
      <c r="EZ47" s="20"/>
      <c r="FA47" s="20"/>
      <c r="FB47" s="20"/>
      <c r="FC47" s="20"/>
      <c r="FD47" s="20"/>
      <c r="FE47" s="20"/>
      <c r="FF47" s="20"/>
      <c r="FG47" s="20"/>
      <c r="FH47" s="20"/>
      <c r="FI47" s="20"/>
      <c r="FJ47" s="20"/>
      <c r="FK47" s="20"/>
      <c r="FL47" s="20"/>
      <c r="FM47" s="20"/>
      <c r="FN47" s="20"/>
      <c r="FO47" s="20"/>
      <c r="FP47" s="20"/>
      <c r="FQ47" s="20"/>
      <c r="FR47" s="20"/>
      <c r="FS47" s="20"/>
      <c r="FT47" s="20"/>
      <c r="FU47" s="20"/>
      <c r="FV47" s="20"/>
      <c r="FW47" s="20"/>
      <c r="FX47" s="20"/>
      <c r="FY47" s="20"/>
      <c r="FZ47" s="20"/>
      <c r="GA47" s="20"/>
      <c r="GB47" s="20"/>
      <c r="GC47" s="20"/>
      <c r="GD47" s="20"/>
      <c r="GE47" s="20"/>
      <c r="GF47" s="20"/>
      <c r="GG47" s="20"/>
      <c r="GH47" s="20"/>
      <c r="GI47" s="20"/>
      <c r="GJ47" s="20"/>
      <c r="GK47" s="20"/>
      <c r="GL47" s="20"/>
      <c r="GM47" s="20"/>
      <c r="GN47" s="20"/>
      <c r="GO47" s="20"/>
      <c r="GP47" s="20"/>
      <c r="GQ47" s="20"/>
      <c r="GR47" s="20"/>
      <c r="GS47" s="20"/>
      <c r="GT47" s="20"/>
      <c r="GU47" s="20"/>
      <c r="GV47" s="20"/>
      <c r="GW47" s="20"/>
      <c r="GX47" s="20"/>
      <c r="GY47" s="20"/>
      <c r="GZ47" s="20"/>
      <c r="HA47" s="20"/>
      <c r="HB47" s="20"/>
      <c r="HC47" s="20"/>
      <c r="HD47" s="20"/>
      <c r="HE47" s="20"/>
      <c r="HF47" s="20"/>
      <c r="HG47" s="20"/>
      <c r="HH47" s="20"/>
      <c r="HI47" s="20"/>
      <c r="HJ47" s="20"/>
      <c r="HK47" s="20"/>
      <c r="HL47" s="20"/>
      <c r="HM47" s="20"/>
    </row>
    <row r="48" spans="1:221" s="11" customFormat="1" ht="55.95" customHeight="1" x14ac:dyDescent="0.3">
      <c r="A48" s="1">
        <v>51</v>
      </c>
      <c r="B48" s="6" t="s">
        <v>20</v>
      </c>
      <c r="C48" s="10" t="s">
        <v>252</v>
      </c>
      <c r="D48" s="7">
        <v>2025</v>
      </c>
      <c r="E48" s="13" t="s">
        <v>60</v>
      </c>
      <c r="F48" s="7">
        <v>0</v>
      </c>
      <c r="G48" s="1" t="str">
        <f t="shared" si="3"/>
        <v>Ma Y.</v>
      </c>
      <c r="H48" s="15" t="s">
        <v>185</v>
      </c>
      <c r="I48" s="15" t="s">
        <v>90</v>
      </c>
      <c r="J48" s="1" t="s">
        <v>228</v>
      </c>
      <c r="K48" s="1" t="s">
        <v>222</v>
      </c>
      <c r="L48" s="1" t="s">
        <v>402</v>
      </c>
      <c r="M48" s="1" t="s">
        <v>425</v>
      </c>
      <c r="N48" s="1" t="s">
        <v>383</v>
      </c>
      <c r="O48" s="1" t="s">
        <v>477</v>
      </c>
      <c r="P48" s="1" t="s">
        <v>457</v>
      </c>
      <c r="Q48" s="1"/>
      <c r="R48" s="1" t="s">
        <v>390</v>
      </c>
      <c r="S48" s="6" t="s">
        <v>1943</v>
      </c>
      <c r="T48" s="6" t="s">
        <v>1944</v>
      </c>
      <c r="U48" s="6"/>
      <c r="V48" s="6" t="s">
        <v>1945</v>
      </c>
      <c r="W48" s="15" t="s">
        <v>510</v>
      </c>
      <c r="X48" s="6" t="s">
        <v>1946</v>
      </c>
      <c r="Y48" s="6" t="s">
        <v>511</v>
      </c>
      <c r="Z48" s="1">
        <v>4</v>
      </c>
      <c r="AA48" s="1">
        <v>4</v>
      </c>
      <c r="AB48" s="7" t="s">
        <v>566</v>
      </c>
      <c r="AC48" s="1" t="s">
        <v>578</v>
      </c>
      <c r="AD48" s="1" t="s">
        <v>573</v>
      </c>
      <c r="AE48" s="1" t="s">
        <v>225</v>
      </c>
      <c r="AF48" s="6"/>
      <c r="AG48" s="6" t="s">
        <v>677</v>
      </c>
      <c r="AH48" s="6" t="s">
        <v>678</v>
      </c>
      <c r="AI48" s="6"/>
      <c r="AJ48" s="20"/>
      <c r="AK48" s="23" cm="1">
        <f t="array" ref="AK48">_xlfn.IFS(AC48="Principles observation",1, AC48="Concept formulation",2, AC48="Proof-of-concept simulation", 3, AC48="Core function validation", 4, AC48="Integration component testing", 5, AC48="Component validation in relevant environment", 6, AC48="Subsystem demonstration in relevant environment", 7, AC48="System demonstration in operational environment", 8, AC48="Production qualification", 9, AC48="Mission-proven operations", 10)</f>
        <v>4</v>
      </c>
      <c r="AL48" s="23" cm="1">
        <f t="array" ref="AL48">_xlfn.IFS(AD48="Assistive GenAI", 1, AD48="GenAI-led with human oversight", 2, AD48="Autonomous process learning", 3)</f>
        <v>1</v>
      </c>
      <c r="AM48" s="20"/>
      <c r="AN48" s="20"/>
      <c r="AO48" s="20"/>
      <c r="AP48" s="20"/>
      <c r="AQ48" s="20"/>
      <c r="AR48" s="20"/>
      <c r="AS48" s="20"/>
      <c r="AT48" s="20"/>
      <c r="AU48" s="20"/>
      <c r="AV48" s="20"/>
      <c r="AW48" s="20"/>
      <c r="AX48" s="20"/>
      <c r="AY48" s="20"/>
      <c r="AZ48" s="20"/>
      <c r="BA48" s="20"/>
      <c r="BB48" s="20"/>
      <c r="BC48" s="20"/>
      <c r="BD48" s="20"/>
      <c r="BE48" s="20"/>
      <c r="BF48" s="20"/>
      <c r="BG48" s="20"/>
      <c r="BH48" s="20"/>
      <c r="BI48" s="20"/>
      <c r="BJ48" s="20"/>
      <c r="BK48" s="20"/>
      <c r="BL48" s="20"/>
      <c r="BM48" s="20"/>
      <c r="BN48" s="20"/>
      <c r="BO48" s="20"/>
      <c r="BP48" s="20"/>
      <c r="BQ48" s="20"/>
      <c r="BR48" s="20"/>
      <c r="BS48" s="20"/>
      <c r="BT48" s="20"/>
      <c r="BU48" s="20"/>
      <c r="BV48" s="20"/>
      <c r="BW48" s="20"/>
      <c r="BX48" s="20"/>
      <c r="BY48" s="20"/>
      <c r="BZ48" s="20"/>
      <c r="CA48" s="20"/>
      <c r="CB48" s="20"/>
      <c r="CC48" s="20"/>
      <c r="CD48" s="20"/>
      <c r="CE48" s="20"/>
      <c r="CF48" s="20"/>
      <c r="CG48" s="20"/>
      <c r="CH48" s="20"/>
      <c r="CI48" s="20"/>
      <c r="CJ48" s="20"/>
      <c r="CK48" s="20"/>
      <c r="CL48" s="20"/>
      <c r="CM48" s="20"/>
      <c r="CN48" s="20"/>
      <c r="CO48" s="20"/>
      <c r="CP48" s="20"/>
      <c r="CQ48" s="20"/>
      <c r="CR48" s="20"/>
      <c r="CS48" s="20"/>
      <c r="CT48" s="20"/>
      <c r="CU48" s="20"/>
      <c r="CV48" s="20"/>
      <c r="CW48" s="20"/>
      <c r="CX48" s="20"/>
      <c r="CY48" s="20"/>
      <c r="CZ48" s="20"/>
      <c r="DA48" s="20"/>
      <c r="DB48" s="20"/>
      <c r="DC48" s="20"/>
      <c r="DD48" s="20"/>
      <c r="DE48" s="20"/>
      <c r="DF48" s="20"/>
      <c r="DG48" s="20"/>
      <c r="DH48" s="20"/>
      <c r="DI48" s="20"/>
      <c r="DJ48" s="20"/>
      <c r="DK48" s="20"/>
      <c r="DL48" s="20"/>
      <c r="DM48" s="20"/>
      <c r="DN48" s="20"/>
      <c r="DO48" s="20"/>
      <c r="DP48" s="20"/>
      <c r="DQ48" s="20"/>
      <c r="DR48" s="20"/>
      <c r="DS48" s="20"/>
      <c r="DT48" s="20"/>
      <c r="DU48" s="20"/>
      <c r="DV48" s="20"/>
      <c r="DW48" s="20"/>
      <c r="DX48" s="20"/>
      <c r="DY48" s="20"/>
      <c r="DZ48" s="20"/>
      <c r="EA48" s="20"/>
      <c r="EB48" s="20"/>
      <c r="EC48" s="20"/>
      <c r="ED48" s="20"/>
      <c r="EE48" s="20"/>
      <c r="EF48" s="20"/>
      <c r="EG48" s="20"/>
      <c r="EH48" s="20"/>
      <c r="EI48" s="20"/>
      <c r="EJ48" s="20"/>
      <c r="EK48" s="20"/>
      <c r="EL48" s="20"/>
      <c r="EM48" s="20"/>
      <c r="EN48" s="20"/>
      <c r="EO48" s="20"/>
      <c r="EP48" s="20"/>
      <c r="EQ48" s="20"/>
      <c r="ER48" s="20"/>
      <c r="ES48" s="20"/>
      <c r="ET48" s="20"/>
      <c r="EU48" s="20"/>
      <c r="EV48" s="20"/>
      <c r="EW48" s="20"/>
      <c r="EX48" s="20"/>
      <c r="EY48" s="20"/>
      <c r="EZ48" s="20"/>
      <c r="FA48" s="20"/>
      <c r="FB48" s="20"/>
      <c r="FC48" s="20"/>
      <c r="FD48" s="20"/>
      <c r="FE48" s="20"/>
      <c r="FF48" s="20"/>
      <c r="FG48" s="20"/>
      <c r="FH48" s="20"/>
      <c r="FI48" s="20"/>
      <c r="FJ48" s="20"/>
      <c r="FK48" s="20"/>
      <c r="FL48" s="20"/>
      <c r="FM48" s="20"/>
      <c r="FN48" s="20"/>
      <c r="FO48" s="20"/>
      <c r="FP48" s="20"/>
      <c r="FQ48" s="20"/>
      <c r="FR48" s="20"/>
      <c r="FS48" s="20"/>
      <c r="FT48" s="20"/>
      <c r="FU48" s="20"/>
      <c r="FV48" s="20"/>
      <c r="FW48" s="20"/>
      <c r="FX48" s="20"/>
      <c r="FY48" s="20"/>
      <c r="FZ48" s="20"/>
      <c r="GA48" s="20"/>
      <c r="GB48" s="20"/>
      <c r="GC48" s="20"/>
      <c r="GD48" s="20"/>
      <c r="GE48" s="20"/>
      <c r="GF48" s="20"/>
      <c r="GG48" s="20"/>
      <c r="GH48" s="20"/>
      <c r="GI48" s="20"/>
      <c r="GJ48" s="20"/>
      <c r="GK48" s="20"/>
      <c r="GL48" s="20"/>
      <c r="GM48" s="20"/>
      <c r="GN48" s="20"/>
      <c r="GO48" s="20"/>
      <c r="GP48" s="20"/>
      <c r="GQ48" s="20"/>
      <c r="GR48" s="20"/>
      <c r="GS48" s="20"/>
      <c r="GT48" s="20"/>
      <c r="GU48" s="20"/>
      <c r="GV48" s="20"/>
      <c r="GW48" s="20"/>
      <c r="GX48" s="20"/>
      <c r="GY48" s="20"/>
      <c r="GZ48" s="20"/>
      <c r="HA48" s="20"/>
      <c r="HB48" s="20"/>
      <c r="HC48" s="20"/>
      <c r="HD48" s="20"/>
      <c r="HE48" s="20"/>
      <c r="HF48" s="20"/>
      <c r="HG48" s="20"/>
      <c r="HH48" s="20"/>
      <c r="HI48" s="20"/>
      <c r="HJ48" s="20"/>
      <c r="HK48" s="20"/>
      <c r="HL48" s="20"/>
      <c r="HM48" s="20"/>
    </row>
    <row r="49" spans="1:221" s="11" customFormat="1" ht="55.95" customHeight="1" x14ac:dyDescent="0.3">
      <c r="A49" s="1">
        <v>52</v>
      </c>
      <c r="B49" s="6" t="s">
        <v>230</v>
      </c>
      <c r="C49" s="10" t="s">
        <v>256</v>
      </c>
      <c r="D49" s="7">
        <v>2025</v>
      </c>
      <c r="E49" s="13" t="s">
        <v>64</v>
      </c>
      <c r="F49" s="7">
        <v>0</v>
      </c>
      <c r="G49" s="1" t="str">
        <f t="shared" si="3"/>
        <v>Li X.</v>
      </c>
      <c r="H49" s="15" t="s">
        <v>194</v>
      </c>
      <c r="I49" s="15" t="s">
        <v>108</v>
      </c>
      <c r="J49" s="1" t="str">
        <f t="shared" ref="J49:J62" si="4">IF(OR(
  E49="International Journal of Production Research",
  E49="Journal of Manufacturing Technology Management",
  E49="International Journal of Production Economics",
  E49="Journal of Industrial Information Integration",
  E49="Transportation Research Part E: Logistics and Transportation Review",
  E49="Journal of Cleaner Production",
  E49="MM 2024 - Proceedings of the 32nd ACM International Conference on Multimedia",
  E49="Oeconomia Copernicana",
  E49="Technology in Society"
), "MGT", "ENG")</f>
        <v>ENG</v>
      </c>
      <c r="K49" s="1" t="s">
        <v>222</v>
      </c>
      <c r="L49" s="1" t="s">
        <v>402</v>
      </c>
      <c r="M49" s="1" t="s">
        <v>425</v>
      </c>
      <c r="N49" s="1" t="s">
        <v>383</v>
      </c>
      <c r="O49" s="1" t="s">
        <v>512</v>
      </c>
      <c r="P49" s="1"/>
      <c r="Q49" s="1"/>
      <c r="R49" s="1" t="s">
        <v>403</v>
      </c>
      <c r="S49" s="6" t="s">
        <v>1947</v>
      </c>
      <c r="T49" s="6" t="s">
        <v>1948</v>
      </c>
      <c r="U49" s="6"/>
      <c r="V49" s="6" t="s">
        <v>1949</v>
      </c>
      <c r="W49" s="15" t="s">
        <v>513</v>
      </c>
      <c r="X49" s="6" t="s">
        <v>1950</v>
      </c>
      <c r="Y49" s="6" t="s">
        <v>514</v>
      </c>
      <c r="Z49" s="1">
        <v>4</v>
      </c>
      <c r="AA49" s="1">
        <v>3</v>
      </c>
      <c r="AB49" s="7" t="s">
        <v>566</v>
      </c>
      <c r="AC49" s="1" t="s">
        <v>647</v>
      </c>
      <c r="AD49" s="1" t="s">
        <v>574</v>
      </c>
      <c r="AE49" s="1" t="s">
        <v>225</v>
      </c>
      <c r="AF49" s="6"/>
      <c r="AG49" s="6" t="s">
        <v>679</v>
      </c>
      <c r="AH49" s="6" t="s">
        <v>680</v>
      </c>
      <c r="AI49" s="6"/>
      <c r="AJ49" s="20"/>
      <c r="AK49" s="23" cm="1">
        <f t="array" ref="AK49">_xlfn.IFS(AC49="Principles observation",1, AC49="Concept formulation",2, AC49="Proof-of-concept simulation", 3, AC49="Core function validation", 4, AC49="Integration component testing", 5, AC49="Component validation in relevant environment", 6, AC49="Subsystem demonstration in relevant environment", 7, AC49="System demonstration in operational environment", 8, AC49="Production qualification", 9, AC49="Mission-proven operations", 10)</f>
        <v>6</v>
      </c>
      <c r="AL49" s="23" cm="1">
        <f t="array" ref="AL49">_xlfn.IFS(AD49="Assistive GenAI", 1, AD49="GenAI-led with human oversight", 2, AD49="Autonomous process learning", 3)</f>
        <v>2</v>
      </c>
      <c r="AM49" s="20"/>
      <c r="AN49" s="20"/>
      <c r="AO49" s="20"/>
      <c r="AP49" s="20"/>
      <c r="AQ49" s="20"/>
      <c r="AR49" s="20"/>
      <c r="AS49" s="20"/>
      <c r="AT49" s="20"/>
      <c r="AU49" s="20"/>
      <c r="AV49" s="20"/>
      <c r="AW49" s="20"/>
      <c r="AX49" s="20"/>
      <c r="AY49" s="20"/>
      <c r="AZ49" s="20"/>
      <c r="BA49" s="20"/>
      <c r="BB49" s="20"/>
      <c r="BC49" s="20"/>
      <c r="BD49" s="20"/>
      <c r="BE49" s="20"/>
      <c r="BF49" s="20"/>
      <c r="BG49" s="20"/>
      <c r="BH49" s="20"/>
      <c r="BI49" s="20"/>
      <c r="BJ49" s="20"/>
      <c r="BK49" s="20"/>
      <c r="BL49" s="20"/>
      <c r="BM49" s="20"/>
      <c r="BN49" s="20"/>
      <c r="BO49" s="20"/>
      <c r="BP49" s="20"/>
      <c r="BQ49" s="20"/>
      <c r="BR49" s="20"/>
      <c r="BS49" s="20"/>
      <c r="BT49" s="20"/>
      <c r="BU49" s="20"/>
      <c r="BV49" s="20"/>
      <c r="BW49" s="20"/>
      <c r="BX49" s="20"/>
      <c r="BY49" s="20"/>
      <c r="BZ49" s="20"/>
      <c r="CA49" s="20"/>
      <c r="CB49" s="20"/>
      <c r="CC49" s="20"/>
      <c r="CD49" s="20"/>
      <c r="CE49" s="20"/>
      <c r="CF49" s="20"/>
      <c r="CG49" s="20"/>
      <c r="CH49" s="20"/>
      <c r="CI49" s="20"/>
      <c r="CJ49" s="20"/>
      <c r="CK49" s="20"/>
      <c r="CL49" s="20"/>
      <c r="CM49" s="20"/>
      <c r="CN49" s="20"/>
      <c r="CO49" s="20"/>
      <c r="CP49" s="20"/>
      <c r="CQ49" s="20"/>
      <c r="CR49" s="20"/>
      <c r="CS49" s="20"/>
      <c r="CT49" s="20"/>
      <c r="CU49" s="20"/>
      <c r="CV49" s="20"/>
      <c r="CW49" s="20"/>
      <c r="CX49" s="20"/>
      <c r="CY49" s="20"/>
      <c r="CZ49" s="20"/>
      <c r="DA49" s="20"/>
      <c r="DB49" s="20"/>
      <c r="DC49" s="20"/>
      <c r="DD49" s="20"/>
      <c r="DE49" s="20"/>
      <c r="DF49" s="20"/>
      <c r="DG49" s="20"/>
      <c r="DH49" s="20"/>
      <c r="DI49" s="20"/>
      <c r="DJ49" s="20"/>
      <c r="DK49" s="20"/>
      <c r="DL49" s="20"/>
      <c r="DM49" s="20"/>
      <c r="DN49" s="20"/>
      <c r="DO49" s="20"/>
      <c r="DP49" s="20"/>
      <c r="DQ49" s="20"/>
      <c r="DR49" s="20"/>
      <c r="DS49" s="20"/>
      <c r="DT49" s="20"/>
      <c r="DU49" s="20"/>
      <c r="DV49" s="20"/>
      <c r="DW49" s="20"/>
      <c r="DX49" s="20"/>
      <c r="DY49" s="20"/>
      <c r="DZ49" s="20"/>
      <c r="EA49" s="20"/>
      <c r="EB49" s="20"/>
      <c r="EC49" s="20"/>
      <c r="ED49" s="20"/>
      <c r="EE49" s="20"/>
      <c r="EF49" s="20"/>
      <c r="EG49" s="20"/>
      <c r="EH49" s="20"/>
      <c r="EI49" s="20"/>
      <c r="EJ49" s="20"/>
      <c r="EK49" s="20"/>
      <c r="EL49" s="20"/>
      <c r="EM49" s="20"/>
      <c r="EN49" s="20"/>
      <c r="EO49" s="20"/>
      <c r="EP49" s="20"/>
      <c r="EQ49" s="20"/>
      <c r="ER49" s="20"/>
      <c r="ES49" s="20"/>
      <c r="ET49" s="20"/>
      <c r="EU49" s="20"/>
      <c r="EV49" s="20"/>
      <c r="EW49" s="20"/>
      <c r="EX49" s="20"/>
      <c r="EY49" s="20"/>
      <c r="EZ49" s="20"/>
      <c r="FA49" s="20"/>
      <c r="FB49" s="20"/>
      <c r="FC49" s="20"/>
      <c r="FD49" s="20"/>
      <c r="FE49" s="20"/>
      <c r="FF49" s="20"/>
      <c r="FG49" s="20"/>
      <c r="FH49" s="20"/>
      <c r="FI49" s="20"/>
      <c r="FJ49" s="20"/>
      <c r="FK49" s="20"/>
      <c r="FL49" s="20"/>
      <c r="FM49" s="20"/>
      <c r="FN49" s="20"/>
      <c r="FO49" s="20"/>
      <c r="FP49" s="20"/>
      <c r="FQ49" s="20"/>
      <c r="FR49" s="20"/>
      <c r="FS49" s="20"/>
      <c r="FT49" s="20"/>
      <c r="FU49" s="20"/>
      <c r="FV49" s="20"/>
      <c r="FW49" s="20"/>
      <c r="FX49" s="20"/>
      <c r="FY49" s="20"/>
      <c r="FZ49" s="20"/>
      <c r="GA49" s="20"/>
      <c r="GB49" s="20"/>
      <c r="GC49" s="20"/>
      <c r="GD49" s="20"/>
      <c r="GE49" s="20"/>
      <c r="GF49" s="20"/>
      <c r="GG49" s="20"/>
      <c r="GH49" s="20"/>
      <c r="GI49" s="20"/>
      <c r="GJ49" s="20"/>
      <c r="GK49" s="20"/>
      <c r="GL49" s="20"/>
      <c r="GM49" s="20"/>
      <c r="GN49" s="20"/>
      <c r="GO49" s="20"/>
      <c r="GP49" s="20"/>
      <c r="GQ49" s="20"/>
      <c r="GR49" s="20"/>
      <c r="GS49" s="20"/>
      <c r="GT49" s="20"/>
      <c r="GU49" s="20"/>
      <c r="GV49" s="20"/>
      <c r="GW49" s="20"/>
      <c r="GX49" s="20"/>
      <c r="GY49" s="20"/>
      <c r="GZ49" s="20"/>
      <c r="HA49" s="20"/>
      <c r="HB49" s="20"/>
      <c r="HC49" s="20"/>
      <c r="HD49" s="20"/>
      <c r="HE49" s="20"/>
      <c r="HF49" s="20"/>
      <c r="HG49" s="20"/>
      <c r="HH49" s="20"/>
      <c r="HI49" s="20"/>
      <c r="HJ49" s="20"/>
      <c r="HK49" s="20"/>
      <c r="HL49" s="20"/>
      <c r="HM49" s="20"/>
    </row>
    <row r="50" spans="1:221" s="11" customFormat="1" ht="55.95" customHeight="1" x14ac:dyDescent="0.3">
      <c r="A50" s="1">
        <v>53</v>
      </c>
      <c r="B50" s="6" t="s">
        <v>25</v>
      </c>
      <c r="C50" s="10" t="s">
        <v>259</v>
      </c>
      <c r="D50" s="7">
        <v>2025</v>
      </c>
      <c r="E50" s="13" t="s">
        <v>58</v>
      </c>
      <c r="F50" s="7">
        <v>0</v>
      </c>
      <c r="G50" s="1" t="str">
        <f t="shared" si="3"/>
        <v>Wang X.</v>
      </c>
      <c r="H50" s="15" t="s">
        <v>338</v>
      </c>
      <c r="I50" s="15" t="s">
        <v>95</v>
      </c>
      <c r="J50" s="1" t="str">
        <f t="shared" si="4"/>
        <v>ENG</v>
      </c>
      <c r="K50" s="1" t="s">
        <v>222</v>
      </c>
      <c r="L50" s="1" t="s">
        <v>388</v>
      </c>
      <c r="M50" s="1" t="s">
        <v>435</v>
      </c>
      <c r="N50" s="1" t="s">
        <v>224</v>
      </c>
      <c r="O50" s="1" t="s">
        <v>385</v>
      </c>
      <c r="P50" s="1" t="s">
        <v>398</v>
      </c>
      <c r="Q50" s="1"/>
      <c r="R50" s="1" t="s">
        <v>386</v>
      </c>
      <c r="S50" s="6" t="s">
        <v>1951</v>
      </c>
      <c r="T50" s="6" t="s">
        <v>1952</v>
      </c>
      <c r="U50" s="6" t="s">
        <v>1953</v>
      </c>
      <c r="V50" s="6" t="s">
        <v>1954</v>
      </c>
      <c r="W50" s="15" t="s">
        <v>519</v>
      </c>
      <c r="X50" s="6" t="s">
        <v>1955</v>
      </c>
      <c r="Y50" s="6" t="s">
        <v>520</v>
      </c>
      <c r="Z50" s="1">
        <v>4</v>
      </c>
      <c r="AA50" s="1">
        <v>3</v>
      </c>
      <c r="AB50" s="1" t="s">
        <v>602</v>
      </c>
      <c r="AC50" s="1" t="s">
        <v>681</v>
      </c>
      <c r="AD50" s="1" t="s">
        <v>573</v>
      </c>
      <c r="AE50" s="1" t="s">
        <v>225</v>
      </c>
      <c r="AF50" s="6"/>
      <c r="AG50" s="6" t="s">
        <v>682</v>
      </c>
      <c r="AH50" s="6" t="s">
        <v>683</v>
      </c>
      <c r="AI50" s="6"/>
      <c r="AJ50" s="20"/>
      <c r="AK50" s="23" cm="1">
        <f t="array" ref="AK50">_xlfn.IFS(AC50="Principles observation",1, AC50="Concept formulation",2, AC50="Proof-of-concept simulation", 3, AC50="Core function validation", 4, AC50="Integration component testing", 5, AC50="Component validation in relevant environment", 6, AC50="Subsystem demonstration in relevant environment", 7, AC50="System demonstration in operational environment", 8, AC50="Production qualification", 9, AC50="Mission-proven operations", 10)</f>
        <v>2</v>
      </c>
      <c r="AL50" s="23" cm="1">
        <f t="array" ref="AL50">_xlfn.IFS(AD50="Assistive GenAI", 1, AD50="GenAI-led with human oversight", 2, AD50="Autonomous process learning", 3)</f>
        <v>1</v>
      </c>
      <c r="AM50" s="20"/>
      <c r="AN50" s="20"/>
      <c r="AO50" s="20"/>
      <c r="AP50" s="20"/>
      <c r="AQ50" s="20"/>
      <c r="AR50" s="20"/>
      <c r="AS50" s="20"/>
      <c r="AT50" s="20"/>
      <c r="AU50" s="20"/>
      <c r="AV50" s="20"/>
      <c r="AW50" s="20"/>
      <c r="AX50" s="20"/>
      <c r="AY50" s="20"/>
      <c r="AZ50" s="20"/>
      <c r="BA50" s="20"/>
      <c r="BB50" s="20"/>
      <c r="BC50" s="20"/>
      <c r="BD50" s="20"/>
      <c r="BE50" s="20"/>
      <c r="BF50" s="20"/>
      <c r="BG50" s="20"/>
      <c r="BH50" s="20"/>
      <c r="BI50" s="20"/>
      <c r="BJ50" s="20"/>
      <c r="BK50" s="20"/>
      <c r="BL50" s="20"/>
      <c r="BM50" s="20"/>
      <c r="BN50" s="20"/>
      <c r="BO50" s="20"/>
      <c r="BP50" s="20"/>
      <c r="BQ50" s="20"/>
      <c r="BR50" s="20"/>
      <c r="BS50" s="20"/>
      <c r="BT50" s="20"/>
      <c r="BU50" s="20"/>
      <c r="BV50" s="20"/>
      <c r="BW50" s="20"/>
      <c r="BX50" s="20"/>
      <c r="BY50" s="20"/>
      <c r="BZ50" s="20"/>
      <c r="CA50" s="20"/>
      <c r="CB50" s="20"/>
      <c r="CC50" s="20"/>
      <c r="CD50" s="20"/>
      <c r="CE50" s="20"/>
      <c r="CF50" s="20"/>
      <c r="CG50" s="20"/>
      <c r="CH50" s="20"/>
      <c r="CI50" s="20"/>
      <c r="CJ50" s="20"/>
      <c r="CK50" s="20"/>
      <c r="CL50" s="20"/>
      <c r="CM50" s="20"/>
      <c r="CN50" s="20"/>
      <c r="CO50" s="20"/>
      <c r="CP50" s="20"/>
      <c r="CQ50" s="20"/>
      <c r="CR50" s="20"/>
      <c r="CS50" s="20"/>
      <c r="CT50" s="20"/>
      <c r="CU50" s="20"/>
      <c r="CV50" s="20"/>
      <c r="CW50" s="20"/>
      <c r="CX50" s="20"/>
      <c r="CY50" s="20"/>
      <c r="CZ50" s="20"/>
      <c r="DA50" s="20"/>
      <c r="DB50" s="20"/>
      <c r="DC50" s="20"/>
      <c r="DD50" s="20"/>
      <c r="DE50" s="20"/>
      <c r="DF50" s="20"/>
      <c r="DG50" s="20"/>
      <c r="DH50" s="20"/>
      <c r="DI50" s="20"/>
      <c r="DJ50" s="20"/>
      <c r="DK50" s="20"/>
      <c r="DL50" s="20"/>
      <c r="DM50" s="20"/>
      <c r="DN50" s="20"/>
      <c r="DO50" s="20"/>
      <c r="DP50" s="20"/>
      <c r="DQ50" s="20"/>
      <c r="DR50" s="20"/>
      <c r="DS50" s="20"/>
      <c r="DT50" s="20"/>
      <c r="DU50" s="20"/>
      <c r="DV50" s="20"/>
      <c r="DW50" s="20"/>
      <c r="DX50" s="20"/>
      <c r="DY50" s="20"/>
      <c r="DZ50" s="20"/>
      <c r="EA50" s="20"/>
      <c r="EB50" s="20"/>
      <c r="EC50" s="20"/>
      <c r="ED50" s="20"/>
      <c r="EE50" s="20"/>
      <c r="EF50" s="20"/>
      <c r="EG50" s="20"/>
      <c r="EH50" s="20"/>
      <c r="EI50" s="20"/>
      <c r="EJ50" s="20"/>
      <c r="EK50" s="20"/>
      <c r="EL50" s="20"/>
      <c r="EM50" s="20"/>
      <c r="EN50" s="20"/>
      <c r="EO50" s="20"/>
      <c r="EP50" s="20"/>
      <c r="EQ50" s="20"/>
      <c r="ER50" s="20"/>
      <c r="ES50" s="20"/>
      <c r="ET50" s="20"/>
      <c r="EU50" s="20"/>
      <c r="EV50" s="20"/>
      <c r="EW50" s="20"/>
      <c r="EX50" s="20"/>
      <c r="EY50" s="20"/>
      <c r="EZ50" s="20"/>
      <c r="FA50" s="20"/>
      <c r="FB50" s="20"/>
      <c r="FC50" s="20"/>
      <c r="FD50" s="20"/>
      <c r="FE50" s="20"/>
      <c r="FF50" s="20"/>
      <c r="FG50" s="20"/>
      <c r="FH50" s="20"/>
      <c r="FI50" s="20"/>
      <c r="FJ50" s="20"/>
      <c r="FK50" s="20"/>
      <c r="FL50" s="20"/>
      <c r="FM50" s="20"/>
      <c r="FN50" s="20"/>
      <c r="FO50" s="20"/>
      <c r="FP50" s="20"/>
      <c r="FQ50" s="20"/>
      <c r="FR50" s="20"/>
      <c r="FS50" s="20"/>
      <c r="FT50" s="20"/>
      <c r="FU50" s="20"/>
      <c r="FV50" s="20"/>
      <c r="FW50" s="20"/>
      <c r="FX50" s="20"/>
      <c r="FY50" s="20"/>
      <c r="FZ50" s="20"/>
      <c r="GA50" s="20"/>
      <c r="GB50" s="20"/>
      <c r="GC50" s="20"/>
      <c r="GD50" s="20"/>
      <c r="GE50" s="20"/>
      <c r="GF50" s="20"/>
      <c r="GG50" s="20"/>
      <c r="GH50" s="20"/>
      <c r="GI50" s="20"/>
      <c r="GJ50" s="20"/>
      <c r="GK50" s="20"/>
      <c r="GL50" s="20"/>
      <c r="GM50" s="20"/>
      <c r="GN50" s="20"/>
      <c r="GO50" s="20"/>
      <c r="GP50" s="20"/>
      <c r="GQ50" s="20"/>
      <c r="GR50" s="20"/>
      <c r="GS50" s="20"/>
      <c r="GT50" s="20"/>
      <c r="GU50" s="20"/>
      <c r="GV50" s="20"/>
      <c r="GW50" s="20"/>
      <c r="GX50" s="20"/>
      <c r="GY50" s="20"/>
      <c r="GZ50" s="20"/>
      <c r="HA50" s="20"/>
      <c r="HB50" s="20"/>
      <c r="HC50" s="20"/>
      <c r="HD50" s="20"/>
      <c r="HE50" s="20"/>
      <c r="HF50" s="20"/>
      <c r="HG50" s="20"/>
      <c r="HH50" s="20"/>
      <c r="HI50" s="20"/>
      <c r="HJ50" s="20"/>
      <c r="HK50" s="20"/>
      <c r="HL50" s="20"/>
      <c r="HM50" s="20"/>
    </row>
    <row r="51" spans="1:221" s="11" customFormat="1" ht="55.95" customHeight="1" x14ac:dyDescent="0.3">
      <c r="A51" s="1">
        <v>54</v>
      </c>
      <c r="B51" s="6" t="s">
        <v>232</v>
      </c>
      <c r="C51" s="10" t="s">
        <v>262</v>
      </c>
      <c r="D51" s="7">
        <v>2025</v>
      </c>
      <c r="E51" s="13" t="s">
        <v>319</v>
      </c>
      <c r="F51" s="7">
        <v>0</v>
      </c>
      <c r="G51" s="1" t="str">
        <f t="shared" si="3"/>
        <v>Li Y.</v>
      </c>
      <c r="H51" s="15" t="s">
        <v>339</v>
      </c>
      <c r="I51" s="15" t="s">
        <v>359</v>
      </c>
      <c r="J51" s="1" t="str">
        <f t="shared" si="4"/>
        <v>ENG</v>
      </c>
      <c r="K51" s="1" t="s">
        <v>222</v>
      </c>
      <c r="L51" s="1" t="s">
        <v>402</v>
      </c>
      <c r="M51" s="1" t="s">
        <v>425</v>
      </c>
      <c r="N51" s="1" t="s">
        <v>387</v>
      </c>
      <c r="O51" s="1" t="s">
        <v>406</v>
      </c>
      <c r="P51" s="1"/>
      <c r="Q51" s="1"/>
      <c r="R51" s="1" t="s">
        <v>521</v>
      </c>
      <c r="S51" s="6" t="s">
        <v>1956</v>
      </c>
      <c r="T51" s="6" t="s">
        <v>1957</v>
      </c>
      <c r="U51" s="6" t="s">
        <v>1958</v>
      </c>
      <c r="V51" s="6" t="s">
        <v>1959</v>
      </c>
      <c r="W51" s="15" t="s">
        <v>522</v>
      </c>
      <c r="X51" s="6" t="s">
        <v>1960</v>
      </c>
      <c r="Y51" s="6" t="s">
        <v>523</v>
      </c>
      <c r="Z51" s="1">
        <v>4</v>
      </c>
      <c r="AA51" s="1">
        <v>3</v>
      </c>
      <c r="AB51" s="7" t="s">
        <v>566</v>
      </c>
      <c r="AC51" s="1" t="s">
        <v>578</v>
      </c>
      <c r="AD51" s="1" t="s">
        <v>573</v>
      </c>
      <c r="AE51" s="1" t="s">
        <v>225</v>
      </c>
      <c r="AF51" s="6"/>
      <c r="AG51" s="6" t="s">
        <v>684</v>
      </c>
      <c r="AH51" s="6" t="s">
        <v>685</v>
      </c>
      <c r="AI51" s="6"/>
      <c r="AJ51" s="20"/>
      <c r="AK51" s="23" cm="1">
        <f t="array" ref="AK51">_xlfn.IFS(AC51="Principles observation",1, AC51="Concept formulation",2, AC51="Proof-of-concept simulation", 3, AC51="Core function validation", 4, AC51="Integration component testing", 5, AC51="Component validation in relevant environment", 6, AC51="Subsystem demonstration in relevant environment", 7, AC51="System demonstration in operational environment", 8, AC51="Production qualification", 9, AC51="Mission-proven operations", 10)</f>
        <v>4</v>
      </c>
      <c r="AL51" s="23" cm="1">
        <f t="array" ref="AL51">_xlfn.IFS(AD51="Assistive GenAI", 1, AD51="GenAI-led with human oversight", 2, AD51="Autonomous process learning", 3)</f>
        <v>1</v>
      </c>
      <c r="AM51" s="20"/>
      <c r="AN51" s="20"/>
      <c r="AO51" s="20"/>
      <c r="AP51" s="20"/>
      <c r="AQ51" s="20"/>
      <c r="AR51" s="20"/>
      <c r="AS51" s="20"/>
      <c r="AT51" s="20"/>
      <c r="AU51" s="20"/>
      <c r="AV51" s="20"/>
      <c r="AW51" s="20"/>
      <c r="AX51" s="20"/>
      <c r="AY51" s="20"/>
      <c r="AZ51" s="20"/>
      <c r="BA51" s="20"/>
      <c r="BB51" s="20"/>
      <c r="BC51" s="20"/>
      <c r="BD51" s="20"/>
      <c r="BE51" s="20"/>
      <c r="BF51" s="20"/>
      <c r="BG51" s="20"/>
      <c r="BH51" s="20"/>
      <c r="BI51" s="20"/>
      <c r="BJ51" s="20"/>
      <c r="BK51" s="20"/>
      <c r="BL51" s="20"/>
      <c r="BM51" s="20"/>
      <c r="BN51" s="20"/>
      <c r="BO51" s="20"/>
      <c r="BP51" s="20"/>
      <c r="BQ51" s="20"/>
      <c r="BR51" s="20"/>
      <c r="BS51" s="20"/>
      <c r="BT51" s="20"/>
      <c r="BU51" s="20"/>
      <c r="BV51" s="20"/>
      <c r="BW51" s="20"/>
      <c r="BX51" s="20"/>
      <c r="BY51" s="20"/>
      <c r="BZ51" s="20"/>
      <c r="CA51" s="20"/>
      <c r="CB51" s="20"/>
      <c r="CC51" s="20"/>
      <c r="CD51" s="20"/>
      <c r="CE51" s="20"/>
      <c r="CF51" s="20"/>
      <c r="CG51" s="20"/>
      <c r="CH51" s="20"/>
      <c r="CI51" s="20"/>
      <c r="CJ51" s="20"/>
      <c r="CK51" s="20"/>
      <c r="CL51" s="20"/>
      <c r="CM51" s="20"/>
      <c r="CN51" s="20"/>
      <c r="CO51" s="20"/>
      <c r="CP51" s="20"/>
      <c r="CQ51" s="20"/>
      <c r="CR51" s="20"/>
      <c r="CS51" s="20"/>
      <c r="CT51" s="20"/>
      <c r="CU51" s="20"/>
      <c r="CV51" s="20"/>
      <c r="CW51" s="20"/>
      <c r="CX51" s="20"/>
      <c r="CY51" s="20"/>
      <c r="CZ51" s="20"/>
      <c r="DA51" s="20"/>
      <c r="DB51" s="20"/>
      <c r="DC51" s="20"/>
      <c r="DD51" s="20"/>
      <c r="DE51" s="20"/>
      <c r="DF51" s="20"/>
      <c r="DG51" s="20"/>
      <c r="DH51" s="20"/>
      <c r="DI51" s="20"/>
      <c r="DJ51" s="20"/>
      <c r="DK51" s="20"/>
      <c r="DL51" s="20"/>
      <c r="DM51" s="20"/>
      <c r="DN51" s="20"/>
      <c r="DO51" s="20"/>
      <c r="DP51" s="20"/>
      <c r="DQ51" s="20"/>
      <c r="DR51" s="20"/>
      <c r="DS51" s="20"/>
      <c r="DT51" s="20"/>
      <c r="DU51" s="20"/>
      <c r="DV51" s="20"/>
      <c r="DW51" s="20"/>
      <c r="DX51" s="20"/>
      <c r="DY51" s="20"/>
      <c r="DZ51" s="20"/>
      <c r="EA51" s="20"/>
      <c r="EB51" s="20"/>
      <c r="EC51" s="20"/>
      <c r="ED51" s="20"/>
      <c r="EE51" s="20"/>
      <c r="EF51" s="20"/>
      <c r="EG51" s="20"/>
      <c r="EH51" s="20"/>
      <c r="EI51" s="20"/>
      <c r="EJ51" s="20"/>
      <c r="EK51" s="20"/>
      <c r="EL51" s="20"/>
      <c r="EM51" s="20"/>
      <c r="EN51" s="20"/>
      <c r="EO51" s="20"/>
      <c r="EP51" s="20"/>
      <c r="EQ51" s="20"/>
      <c r="ER51" s="20"/>
      <c r="ES51" s="20"/>
      <c r="ET51" s="20"/>
      <c r="EU51" s="20"/>
      <c r="EV51" s="20"/>
      <c r="EW51" s="20"/>
      <c r="EX51" s="20"/>
      <c r="EY51" s="20"/>
      <c r="EZ51" s="20"/>
      <c r="FA51" s="20"/>
      <c r="FB51" s="20"/>
      <c r="FC51" s="20"/>
      <c r="FD51" s="20"/>
      <c r="FE51" s="20"/>
      <c r="FF51" s="20"/>
      <c r="FG51" s="20"/>
      <c r="FH51" s="20"/>
      <c r="FI51" s="20"/>
      <c r="FJ51" s="20"/>
      <c r="FK51" s="20"/>
      <c r="FL51" s="20"/>
      <c r="FM51" s="20"/>
      <c r="FN51" s="20"/>
      <c r="FO51" s="20"/>
      <c r="FP51" s="20"/>
      <c r="FQ51" s="20"/>
      <c r="FR51" s="20"/>
      <c r="FS51" s="20"/>
      <c r="FT51" s="20"/>
      <c r="FU51" s="20"/>
      <c r="FV51" s="20"/>
      <c r="FW51" s="20"/>
      <c r="FX51" s="20"/>
      <c r="FY51" s="20"/>
      <c r="FZ51" s="20"/>
      <c r="GA51" s="20"/>
      <c r="GB51" s="20"/>
      <c r="GC51" s="20"/>
      <c r="GD51" s="20"/>
      <c r="GE51" s="20"/>
      <c r="GF51" s="20"/>
      <c r="GG51" s="20"/>
      <c r="GH51" s="20"/>
      <c r="GI51" s="20"/>
      <c r="GJ51" s="20"/>
      <c r="GK51" s="20"/>
      <c r="GL51" s="20"/>
      <c r="GM51" s="20"/>
      <c r="GN51" s="20"/>
      <c r="GO51" s="20"/>
      <c r="GP51" s="20"/>
      <c r="GQ51" s="20"/>
      <c r="GR51" s="20"/>
      <c r="GS51" s="20"/>
      <c r="GT51" s="20"/>
      <c r="GU51" s="20"/>
      <c r="GV51" s="20"/>
      <c r="GW51" s="20"/>
      <c r="GX51" s="20"/>
      <c r="GY51" s="20"/>
      <c r="GZ51" s="20"/>
      <c r="HA51" s="20"/>
      <c r="HB51" s="20"/>
      <c r="HC51" s="20"/>
      <c r="HD51" s="20"/>
      <c r="HE51" s="20"/>
      <c r="HF51" s="20"/>
      <c r="HG51" s="20"/>
      <c r="HH51" s="20"/>
      <c r="HI51" s="20"/>
      <c r="HJ51" s="20"/>
      <c r="HK51" s="20"/>
      <c r="HL51" s="20"/>
      <c r="HM51" s="20"/>
    </row>
    <row r="52" spans="1:221" s="11" customFormat="1" ht="55.95" customHeight="1" x14ac:dyDescent="0.3">
      <c r="A52" s="1">
        <v>55</v>
      </c>
      <c r="B52" s="6" t="s">
        <v>46</v>
      </c>
      <c r="C52" s="10" t="s">
        <v>263</v>
      </c>
      <c r="D52" s="7">
        <v>2025</v>
      </c>
      <c r="E52" s="13" t="s">
        <v>61</v>
      </c>
      <c r="F52" s="7">
        <v>0</v>
      </c>
      <c r="G52" s="1" t="str">
        <f t="shared" si="3"/>
        <v>Tan J.</v>
      </c>
      <c r="H52" s="15" t="s">
        <v>199</v>
      </c>
      <c r="I52" s="15" t="s">
        <v>118</v>
      </c>
      <c r="J52" s="1" t="str">
        <f t="shared" si="4"/>
        <v>ENG</v>
      </c>
      <c r="K52" s="1" t="s">
        <v>222</v>
      </c>
      <c r="L52" s="1" t="s">
        <v>388</v>
      </c>
      <c r="M52" s="1" t="s">
        <v>435</v>
      </c>
      <c r="N52" s="1" t="s">
        <v>383</v>
      </c>
      <c r="O52" s="1" t="s">
        <v>524</v>
      </c>
      <c r="P52" s="1"/>
      <c r="Q52" s="1" t="s">
        <v>525</v>
      </c>
      <c r="R52" s="1" t="s">
        <v>386</v>
      </c>
      <c r="S52" s="6" t="s">
        <v>1961</v>
      </c>
      <c r="T52" s="6" t="s">
        <v>1962</v>
      </c>
      <c r="U52" s="6"/>
      <c r="V52" s="6" t="s">
        <v>1963</v>
      </c>
      <c r="W52" s="15" t="s">
        <v>526</v>
      </c>
      <c r="X52" s="6"/>
      <c r="Y52" s="6" t="s">
        <v>527</v>
      </c>
      <c r="Z52" s="1">
        <v>4</v>
      </c>
      <c r="AA52" s="1">
        <v>3</v>
      </c>
      <c r="AB52" s="1" t="s">
        <v>602</v>
      </c>
      <c r="AC52" s="1" t="s">
        <v>686</v>
      </c>
      <c r="AD52" s="1" t="s">
        <v>575</v>
      </c>
      <c r="AE52" s="1" t="s">
        <v>225</v>
      </c>
      <c r="AF52" s="6"/>
      <c r="AG52" s="6" t="s">
        <v>688</v>
      </c>
      <c r="AH52" s="6" t="s">
        <v>687</v>
      </c>
      <c r="AI52" s="6"/>
      <c r="AJ52" s="20"/>
      <c r="AK52" s="23" cm="1">
        <f t="array" ref="AK52">_xlfn.IFS(AC52="Principles observation",1, AC52="Concept formulation",2, AC52="Proof-of-concept simulation", 3, AC52="Core function validation", 4, AC52="Integration component testing", 5, AC52="Component validation in relevant environment", 6, AC52="Subsystem demonstration in relevant environment", 7, AC52="System demonstration in operational environment", 8, AC52="Production qualification", 9, AC52="Mission-proven operations", 10)</f>
        <v>1</v>
      </c>
      <c r="AL52" s="23" cm="1">
        <f t="array" ref="AL52">_xlfn.IFS(AD52="Assistive GenAI", 1, AD52="GenAI-led with human oversight", 2, AD52="Autonomous process learning", 3)</f>
        <v>3</v>
      </c>
      <c r="AM52" s="20"/>
      <c r="AN52" s="20"/>
      <c r="AO52" s="20"/>
      <c r="AP52" s="20"/>
      <c r="AQ52" s="20"/>
      <c r="AR52" s="20"/>
      <c r="AS52" s="20"/>
      <c r="AT52" s="20"/>
      <c r="AU52" s="20"/>
      <c r="AV52" s="20"/>
      <c r="AW52" s="20"/>
      <c r="AX52" s="20"/>
      <c r="AY52" s="20"/>
      <c r="AZ52" s="20"/>
      <c r="BA52" s="20"/>
      <c r="BB52" s="20"/>
      <c r="BC52" s="20"/>
      <c r="BD52" s="20"/>
      <c r="BE52" s="20"/>
      <c r="BF52" s="20"/>
      <c r="BG52" s="20"/>
      <c r="BH52" s="20"/>
      <c r="BI52" s="20"/>
      <c r="BJ52" s="20"/>
      <c r="BK52" s="20"/>
      <c r="BL52" s="20"/>
      <c r="BM52" s="20"/>
      <c r="BN52" s="20"/>
      <c r="BO52" s="20"/>
      <c r="BP52" s="20"/>
      <c r="BQ52" s="20"/>
      <c r="BR52" s="20"/>
      <c r="BS52" s="20"/>
      <c r="BT52" s="20"/>
      <c r="BU52" s="20"/>
      <c r="BV52" s="20"/>
      <c r="BW52" s="20"/>
      <c r="BX52" s="20"/>
      <c r="BY52" s="20"/>
      <c r="BZ52" s="20"/>
      <c r="CA52" s="20"/>
      <c r="CB52" s="20"/>
      <c r="CC52" s="20"/>
      <c r="CD52" s="20"/>
      <c r="CE52" s="20"/>
      <c r="CF52" s="20"/>
      <c r="CG52" s="20"/>
      <c r="CH52" s="20"/>
      <c r="CI52" s="20"/>
      <c r="CJ52" s="20"/>
      <c r="CK52" s="20"/>
      <c r="CL52" s="20"/>
      <c r="CM52" s="20"/>
      <c r="CN52" s="20"/>
      <c r="CO52" s="20"/>
      <c r="CP52" s="20"/>
      <c r="CQ52" s="20"/>
      <c r="CR52" s="20"/>
      <c r="CS52" s="20"/>
      <c r="CT52" s="20"/>
      <c r="CU52" s="20"/>
      <c r="CV52" s="20"/>
      <c r="CW52" s="20"/>
      <c r="CX52" s="20"/>
      <c r="CY52" s="20"/>
      <c r="CZ52" s="20"/>
      <c r="DA52" s="20"/>
      <c r="DB52" s="20"/>
      <c r="DC52" s="20"/>
      <c r="DD52" s="20"/>
      <c r="DE52" s="20"/>
      <c r="DF52" s="20"/>
      <c r="DG52" s="20"/>
      <c r="DH52" s="20"/>
      <c r="DI52" s="20"/>
      <c r="DJ52" s="20"/>
      <c r="DK52" s="20"/>
      <c r="DL52" s="20"/>
      <c r="DM52" s="20"/>
      <c r="DN52" s="20"/>
      <c r="DO52" s="20"/>
      <c r="DP52" s="20"/>
      <c r="DQ52" s="20"/>
      <c r="DR52" s="20"/>
      <c r="DS52" s="20"/>
      <c r="DT52" s="20"/>
      <c r="DU52" s="20"/>
      <c r="DV52" s="20"/>
      <c r="DW52" s="20"/>
      <c r="DX52" s="20"/>
      <c r="DY52" s="20"/>
      <c r="DZ52" s="20"/>
      <c r="EA52" s="20"/>
      <c r="EB52" s="20"/>
      <c r="EC52" s="20"/>
      <c r="ED52" s="20"/>
      <c r="EE52" s="20"/>
      <c r="EF52" s="20"/>
      <c r="EG52" s="20"/>
      <c r="EH52" s="20"/>
      <c r="EI52" s="20"/>
      <c r="EJ52" s="20"/>
      <c r="EK52" s="20"/>
      <c r="EL52" s="20"/>
      <c r="EM52" s="20"/>
      <c r="EN52" s="20"/>
      <c r="EO52" s="20"/>
      <c r="EP52" s="20"/>
      <c r="EQ52" s="20"/>
      <c r="ER52" s="20"/>
      <c r="ES52" s="20"/>
      <c r="ET52" s="20"/>
      <c r="EU52" s="20"/>
      <c r="EV52" s="20"/>
      <c r="EW52" s="20"/>
      <c r="EX52" s="20"/>
      <c r="EY52" s="20"/>
      <c r="EZ52" s="20"/>
      <c r="FA52" s="20"/>
      <c r="FB52" s="20"/>
      <c r="FC52" s="20"/>
      <c r="FD52" s="20"/>
      <c r="FE52" s="20"/>
      <c r="FF52" s="20"/>
      <c r="FG52" s="20"/>
      <c r="FH52" s="20"/>
      <c r="FI52" s="20"/>
      <c r="FJ52" s="20"/>
      <c r="FK52" s="20"/>
      <c r="FL52" s="20"/>
      <c r="FM52" s="20"/>
      <c r="FN52" s="20"/>
      <c r="FO52" s="20"/>
      <c r="FP52" s="20"/>
      <c r="FQ52" s="20"/>
      <c r="FR52" s="20"/>
      <c r="FS52" s="20"/>
      <c r="FT52" s="20"/>
      <c r="FU52" s="20"/>
      <c r="FV52" s="20"/>
      <c r="FW52" s="20"/>
      <c r="FX52" s="20"/>
      <c r="FY52" s="20"/>
      <c r="FZ52" s="20"/>
      <c r="GA52" s="20"/>
      <c r="GB52" s="20"/>
      <c r="GC52" s="20"/>
      <c r="GD52" s="20"/>
      <c r="GE52" s="20"/>
      <c r="GF52" s="20"/>
      <c r="GG52" s="20"/>
      <c r="GH52" s="20"/>
      <c r="GI52" s="20"/>
      <c r="GJ52" s="20"/>
      <c r="GK52" s="20"/>
      <c r="GL52" s="20"/>
      <c r="GM52" s="20"/>
      <c r="GN52" s="20"/>
      <c r="GO52" s="20"/>
      <c r="GP52" s="20"/>
      <c r="GQ52" s="20"/>
      <c r="GR52" s="20"/>
      <c r="GS52" s="20"/>
      <c r="GT52" s="20"/>
      <c r="GU52" s="20"/>
      <c r="GV52" s="20"/>
      <c r="GW52" s="20"/>
      <c r="GX52" s="20"/>
      <c r="GY52" s="20"/>
      <c r="GZ52" s="20"/>
      <c r="HA52" s="20"/>
      <c r="HB52" s="20"/>
      <c r="HC52" s="20"/>
      <c r="HD52" s="20"/>
      <c r="HE52" s="20"/>
      <c r="HF52" s="20"/>
      <c r="HG52" s="20"/>
      <c r="HH52" s="20"/>
      <c r="HI52" s="20"/>
      <c r="HJ52" s="20"/>
      <c r="HK52" s="20"/>
      <c r="HL52" s="20"/>
      <c r="HM52" s="20"/>
    </row>
    <row r="53" spans="1:221" s="11" customFormat="1" ht="55.95" customHeight="1" x14ac:dyDescent="0.3">
      <c r="A53" s="1">
        <v>57</v>
      </c>
      <c r="B53" s="6" t="s">
        <v>234</v>
      </c>
      <c r="C53" s="10" t="s">
        <v>273</v>
      </c>
      <c r="D53" s="7">
        <v>2025</v>
      </c>
      <c r="E53" s="13" t="s">
        <v>59</v>
      </c>
      <c r="F53" s="7">
        <v>0</v>
      </c>
      <c r="G53" s="1" t="str">
        <f t="shared" si="3"/>
        <v>Yang S.</v>
      </c>
      <c r="H53" s="15" t="s">
        <v>342</v>
      </c>
      <c r="I53" s="15" t="s">
        <v>361</v>
      </c>
      <c r="J53" s="1" t="str">
        <f t="shared" si="4"/>
        <v>ENG</v>
      </c>
      <c r="K53" s="1" t="s">
        <v>222</v>
      </c>
      <c r="L53" s="1" t="s">
        <v>402</v>
      </c>
      <c r="M53" s="1" t="s">
        <v>425</v>
      </c>
      <c r="N53" s="1" t="s">
        <v>387</v>
      </c>
      <c r="O53" s="1" t="s">
        <v>504</v>
      </c>
      <c r="P53" s="1"/>
      <c r="Q53" s="1"/>
      <c r="R53" s="1" t="s">
        <v>386</v>
      </c>
      <c r="S53" s="6" t="s">
        <v>1964</v>
      </c>
      <c r="T53" s="6" t="s">
        <v>1965</v>
      </c>
      <c r="U53" s="6"/>
      <c r="V53" s="6" t="s">
        <v>1966</v>
      </c>
      <c r="W53" s="15" t="s">
        <v>528</v>
      </c>
      <c r="X53" s="6" t="s">
        <v>1967</v>
      </c>
      <c r="Y53" s="6"/>
      <c r="Z53" s="1">
        <v>4</v>
      </c>
      <c r="AA53" s="1">
        <v>3</v>
      </c>
      <c r="AB53" s="7" t="s">
        <v>566</v>
      </c>
      <c r="AC53" s="1" t="s">
        <v>578</v>
      </c>
      <c r="AD53" s="1" t="s">
        <v>574</v>
      </c>
      <c r="AE53" s="1" t="s">
        <v>218</v>
      </c>
      <c r="AF53" s="6" t="s">
        <v>691</v>
      </c>
      <c r="AG53" s="6" t="s">
        <v>689</v>
      </c>
      <c r="AH53" s="6" t="s">
        <v>692</v>
      </c>
      <c r="AI53" s="6" t="s">
        <v>690</v>
      </c>
      <c r="AJ53" s="20"/>
      <c r="AK53" s="23" cm="1">
        <f t="array" ref="AK53">_xlfn.IFS(AC53="Principles observation",1, AC53="Concept formulation",2, AC53="Proof-of-concept simulation", 3, AC53="Core function validation", 4, AC53="Integration component testing", 5, AC53="Component validation in relevant environment", 6, AC53="Subsystem demonstration in relevant environment", 7, AC53="System demonstration in operational environment", 8, AC53="Production qualification", 9, AC53="Mission-proven operations", 10)</f>
        <v>4</v>
      </c>
      <c r="AL53" s="23" cm="1">
        <f t="array" ref="AL53">_xlfn.IFS(AD53="Assistive GenAI", 1, AD53="GenAI-led with human oversight", 2, AD53="Autonomous process learning", 3)</f>
        <v>2</v>
      </c>
      <c r="AM53" s="20"/>
      <c r="AN53" s="20"/>
      <c r="AO53" s="20"/>
      <c r="AP53" s="20"/>
      <c r="AQ53" s="20"/>
      <c r="AR53" s="20"/>
      <c r="AS53" s="20"/>
      <c r="AT53" s="20"/>
      <c r="AU53" s="20"/>
      <c r="AV53" s="20"/>
      <c r="AW53" s="20"/>
      <c r="AX53" s="20"/>
      <c r="AY53" s="20"/>
      <c r="AZ53" s="20"/>
      <c r="BA53" s="20"/>
      <c r="BB53" s="20"/>
      <c r="BC53" s="20"/>
      <c r="BD53" s="20"/>
      <c r="BE53" s="20"/>
      <c r="BF53" s="20"/>
      <c r="BG53" s="20"/>
      <c r="BH53" s="20"/>
      <c r="BI53" s="20"/>
      <c r="BJ53" s="20"/>
      <c r="BK53" s="20"/>
      <c r="BL53" s="20"/>
      <c r="BM53" s="20"/>
      <c r="BN53" s="20"/>
      <c r="BO53" s="20"/>
      <c r="BP53" s="20"/>
      <c r="BQ53" s="20"/>
      <c r="BR53" s="20"/>
      <c r="BS53" s="20"/>
      <c r="BT53" s="20"/>
      <c r="BU53" s="20"/>
      <c r="BV53" s="20"/>
      <c r="BW53" s="20"/>
      <c r="BX53" s="20"/>
      <c r="BY53" s="20"/>
      <c r="BZ53" s="20"/>
      <c r="CA53" s="20"/>
      <c r="CB53" s="20"/>
      <c r="CC53" s="20"/>
      <c r="CD53" s="20"/>
      <c r="CE53" s="20"/>
      <c r="CF53" s="20"/>
      <c r="CG53" s="20"/>
      <c r="CH53" s="20"/>
      <c r="CI53" s="20"/>
      <c r="CJ53" s="20"/>
      <c r="CK53" s="20"/>
      <c r="CL53" s="20"/>
      <c r="CM53" s="20"/>
      <c r="CN53" s="20"/>
      <c r="CO53" s="20"/>
      <c r="CP53" s="20"/>
      <c r="CQ53" s="20"/>
      <c r="CR53" s="20"/>
      <c r="CS53" s="20"/>
      <c r="CT53" s="20"/>
      <c r="CU53" s="20"/>
      <c r="CV53" s="20"/>
      <c r="CW53" s="20"/>
      <c r="CX53" s="20"/>
      <c r="CY53" s="20"/>
      <c r="CZ53" s="20"/>
      <c r="DA53" s="20"/>
      <c r="DB53" s="20"/>
      <c r="DC53" s="20"/>
      <c r="DD53" s="20"/>
      <c r="DE53" s="20"/>
      <c r="DF53" s="20"/>
      <c r="DG53" s="20"/>
      <c r="DH53" s="20"/>
      <c r="DI53" s="20"/>
      <c r="DJ53" s="20"/>
      <c r="DK53" s="20"/>
      <c r="DL53" s="20"/>
      <c r="DM53" s="20"/>
      <c r="DN53" s="20"/>
      <c r="DO53" s="20"/>
      <c r="DP53" s="20"/>
      <c r="DQ53" s="20"/>
      <c r="DR53" s="20"/>
      <c r="DS53" s="20"/>
      <c r="DT53" s="20"/>
      <c r="DU53" s="20"/>
      <c r="DV53" s="20"/>
      <c r="DW53" s="20"/>
      <c r="DX53" s="20"/>
      <c r="DY53" s="20"/>
      <c r="DZ53" s="20"/>
      <c r="EA53" s="20"/>
      <c r="EB53" s="20"/>
      <c r="EC53" s="20"/>
      <c r="ED53" s="20"/>
      <c r="EE53" s="20"/>
      <c r="EF53" s="20"/>
      <c r="EG53" s="20"/>
      <c r="EH53" s="20"/>
      <c r="EI53" s="20"/>
      <c r="EJ53" s="20"/>
      <c r="EK53" s="20"/>
      <c r="EL53" s="20"/>
      <c r="EM53" s="20"/>
      <c r="EN53" s="20"/>
      <c r="EO53" s="20"/>
      <c r="EP53" s="20"/>
      <c r="EQ53" s="20"/>
      <c r="ER53" s="20"/>
      <c r="ES53" s="20"/>
      <c r="ET53" s="20"/>
      <c r="EU53" s="20"/>
      <c r="EV53" s="20"/>
      <c r="EW53" s="20"/>
      <c r="EX53" s="20"/>
      <c r="EY53" s="20"/>
      <c r="EZ53" s="20"/>
      <c r="FA53" s="20"/>
      <c r="FB53" s="20"/>
      <c r="FC53" s="20"/>
      <c r="FD53" s="20"/>
      <c r="FE53" s="20"/>
      <c r="FF53" s="20"/>
      <c r="FG53" s="20"/>
      <c r="FH53" s="20"/>
      <c r="FI53" s="20"/>
      <c r="FJ53" s="20"/>
      <c r="FK53" s="20"/>
      <c r="FL53" s="20"/>
      <c r="FM53" s="20"/>
      <c r="FN53" s="20"/>
      <c r="FO53" s="20"/>
      <c r="FP53" s="20"/>
      <c r="FQ53" s="20"/>
      <c r="FR53" s="20"/>
      <c r="FS53" s="20"/>
      <c r="FT53" s="20"/>
      <c r="FU53" s="20"/>
      <c r="FV53" s="20"/>
      <c r="FW53" s="20"/>
      <c r="FX53" s="20"/>
      <c r="FY53" s="20"/>
      <c r="FZ53" s="20"/>
      <c r="GA53" s="20"/>
      <c r="GB53" s="20"/>
      <c r="GC53" s="20"/>
      <c r="GD53" s="20"/>
      <c r="GE53" s="20"/>
      <c r="GF53" s="20"/>
      <c r="GG53" s="20"/>
      <c r="GH53" s="20"/>
      <c r="GI53" s="20"/>
      <c r="GJ53" s="20"/>
      <c r="GK53" s="20"/>
      <c r="GL53" s="20"/>
      <c r="GM53" s="20"/>
      <c r="GN53" s="20"/>
      <c r="GO53" s="20"/>
      <c r="GP53" s="20"/>
      <c r="GQ53" s="20"/>
      <c r="GR53" s="20"/>
      <c r="GS53" s="20"/>
      <c r="GT53" s="20"/>
      <c r="GU53" s="20"/>
      <c r="GV53" s="20"/>
      <c r="GW53" s="20"/>
      <c r="GX53" s="20"/>
      <c r="GY53" s="20"/>
      <c r="GZ53" s="20"/>
      <c r="HA53" s="20"/>
      <c r="HB53" s="20"/>
      <c r="HC53" s="20"/>
      <c r="HD53" s="20"/>
      <c r="HE53" s="20"/>
      <c r="HF53" s="20"/>
      <c r="HG53" s="20"/>
      <c r="HH53" s="20"/>
      <c r="HI53" s="20"/>
      <c r="HJ53" s="20"/>
      <c r="HK53" s="20"/>
      <c r="HL53" s="20"/>
      <c r="HM53" s="20"/>
    </row>
    <row r="54" spans="1:221" s="11" customFormat="1" ht="55.95" customHeight="1" x14ac:dyDescent="0.3">
      <c r="A54" s="1">
        <v>58</v>
      </c>
      <c r="B54" s="6" t="s">
        <v>236</v>
      </c>
      <c r="C54" s="10" t="s">
        <v>275</v>
      </c>
      <c r="D54" s="7">
        <v>2025</v>
      </c>
      <c r="E54" s="13" t="s">
        <v>56</v>
      </c>
      <c r="F54" s="7">
        <v>0</v>
      </c>
      <c r="G54" s="1" t="str">
        <f t="shared" si="3"/>
        <v>Naghavi Khanghah K.</v>
      </c>
      <c r="H54" s="15" t="s">
        <v>344</v>
      </c>
      <c r="I54" s="15" t="s">
        <v>363</v>
      </c>
      <c r="J54" s="1" t="str">
        <f t="shared" si="4"/>
        <v>ENG</v>
      </c>
      <c r="K54" s="1" t="s">
        <v>222</v>
      </c>
      <c r="L54" s="1" t="s">
        <v>402</v>
      </c>
      <c r="M54" s="1" t="s">
        <v>425</v>
      </c>
      <c r="N54" s="1" t="s">
        <v>383</v>
      </c>
      <c r="O54" s="1" t="s">
        <v>481</v>
      </c>
      <c r="P54" s="1"/>
      <c r="Q54" s="1"/>
      <c r="R54" s="1" t="s">
        <v>386</v>
      </c>
      <c r="S54" s="6" t="s">
        <v>1968</v>
      </c>
      <c r="T54" s="6" t="s">
        <v>1969</v>
      </c>
      <c r="U54" s="6" t="s">
        <v>1970</v>
      </c>
      <c r="V54" s="6" t="s">
        <v>1971</v>
      </c>
      <c r="W54" s="15" t="s">
        <v>529</v>
      </c>
      <c r="X54" s="6" t="s">
        <v>1972</v>
      </c>
      <c r="Y54" s="6"/>
      <c r="Z54" s="1">
        <v>4</v>
      </c>
      <c r="AA54" s="1">
        <v>3</v>
      </c>
      <c r="AB54" s="7" t="s">
        <v>566</v>
      </c>
      <c r="AC54" s="1" t="s">
        <v>578</v>
      </c>
      <c r="AD54" s="1" t="s">
        <v>573</v>
      </c>
      <c r="AE54" s="1" t="s">
        <v>225</v>
      </c>
      <c r="AF54" s="6"/>
      <c r="AG54" s="6" t="s">
        <v>693</v>
      </c>
      <c r="AH54" s="6" t="s">
        <v>694</v>
      </c>
      <c r="AI54" s="6"/>
      <c r="AJ54" s="20"/>
      <c r="AK54" s="23" cm="1">
        <f t="array" ref="AK54">_xlfn.IFS(AC54="Principles observation",1, AC54="Concept formulation",2, AC54="Proof-of-concept simulation", 3, AC54="Core function validation", 4, AC54="Integration component testing", 5, AC54="Component validation in relevant environment", 6, AC54="Subsystem demonstration in relevant environment", 7, AC54="System demonstration in operational environment", 8, AC54="Production qualification", 9, AC54="Mission-proven operations", 10)</f>
        <v>4</v>
      </c>
      <c r="AL54" s="23" cm="1">
        <f t="array" ref="AL54">_xlfn.IFS(AD54="Assistive GenAI", 1, AD54="GenAI-led with human oversight", 2, AD54="Autonomous process learning", 3)</f>
        <v>1</v>
      </c>
      <c r="AM54" s="20"/>
      <c r="AN54" s="20"/>
      <c r="AO54" s="20"/>
      <c r="AP54" s="20"/>
      <c r="AQ54" s="20"/>
      <c r="AR54" s="20"/>
      <c r="AS54" s="20"/>
      <c r="AT54" s="20"/>
      <c r="AU54" s="20"/>
      <c r="AV54" s="20"/>
      <c r="AW54" s="20"/>
      <c r="AX54" s="20"/>
      <c r="AY54" s="20"/>
      <c r="AZ54" s="20"/>
      <c r="BA54" s="20"/>
      <c r="BB54" s="20"/>
      <c r="BC54" s="20"/>
      <c r="BD54" s="20"/>
      <c r="BE54" s="20"/>
      <c r="BF54" s="20"/>
      <c r="BG54" s="20"/>
      <c r="BH54" s="20"/>
      <c r="BI54" s="20"/>
      <c r="BJ54" s="20"/>
      <c r="BK54" s="20"/>
      <c r="BL54" s="20"/>
      <c r="BM54" s="20"/>
      <c r="BN54" s="20"/>
      <c r="BO54" s="20"/>
      <c r="BP54" s="20"/>
      <c r="BQ54" s="20"/>
      <c r="BR54" s="20"/>
      <c r="BS54" s="20"/>
      <c r="BT54" s="20"/>
      <c r="BU54" s="20"/>
      <c r="BV54" s="20"/>
      <c r="BW54" s="20"/>
      <c r="BX54" s="20"/>
      <c r="BY54" s="20"/>
      <c r="BZ54" s="20"/>
      <c r="CA54" s="20"/>
      <c r="CB54" s="20"/>
      <c r="CC54" s="20"/>
      <c r="CD54" s="20"/>
      <c r="CE54" s="20"/>
      <c r="CF54" s="20"/>
      <c r="CG54" s="20"/>
      <c r="CH54" s="20"/>
      <c r="CI54" s="20"/>
      <c r="CJ54" s="20"/>
      <c r="CK54" s="20"/>
      <c r="CL54" s="20"/>
      <c r="CM54" s="20"/>
      <c r="CN54" s="20"/>
      <c r="CO54" s="20"/>
      <c r="CP54" s="20"/>
      <c r="CQ54" s="20"/>
      <c r="CR54" s="20"/>
      <c r="CS54" s="20"/>
      <c r="CT54" s="20"/>
      <c r="CU54" s="20"/>
      <c r="CV54" s="20"/>
      <c r="CW54" s="20"/>
      <c r="CX54" s="20"/>
      <c r="CY54" s="20"/>
      <c r="CZ54" s="20"/>
      <c r="DA54" s="20"/>
      <c r="DB54" s="20"/>
      <c r="DC54" s="20"/>
      <c r="DD54" s="20"/>
      <c r="DE54" s="20"/>
      <c r="DF54" s="20"/>
      <c r="DG54" s="20"/>
      <c r="DH54" s="20"/>
      <c r="DI54" s="20"/>
      <c r="DJ54" s="20"/>
      <c r="DK54" s="20"/>
      <c r="DL54" s="20"/>
      <c r="DM54" s="20"/>
      <c r="DN54" s="20"/>
      <c r="DO54" s="20"/>
      <c r="DP54" s="20"/>
      <c r="DQ54" s="20"/>
      <c r="DR54" s="20"/>
      <c r="DS54" s="20"/>
      <c r="DT54" s="20"/>
      <c r="DU54" s="20"/>
      <c r="DV54" s="20"/>
      <c r="DW54" s="20"/>
      <c r="DX54" s="20"/>
      <c r="DY54" s="20"/>
      <c r="DZ54" s="20"/>
      <c r="EA54" s="20"/>
      <c r="EB54" s="20"/>
      <c r="EC54" s="20"/>
      <c r="ED54" s="20"/>
      <c r="EE54" s="20"/>
      <c r="EF54" s="20"/>
      <c r="EG54" s="20"/>
      <c r="EH54" s="20"/>
      <c r="EI54" s="20"/>
      <c r="EJ54" s="20"/>
      <c r="EK54" s="20"/>
      <c r="EL54" s="20"/>
      <c r="EM54" s="20"/>
      <c r="EN54" s="20"/>
      <c r="EO54" s="20"/>
      <c r="EP54" s="20"/>
      <c r="EQ54" s="20"/>
      <c r="ER54" s="20"/>
      <c r="ES54" s="20"/>
      <c r="ET54" s="20"/>
      <c r="EU54" s="20"/>
      <c r="EV54" s="20"/>
      <c r="EW54" s="20"/>
      <c r="EX54" s="20"/>
      <c r="EY54" s="20"/>
      <c r="EZ54" s="20"/>
      <c r="FA54" s="20"/>
      <c r="FB54" s="20"/>
      <c r="FC54" s="20"/>
      <c r="FD54" s="20"/>
      <c r="FE54" s="20"/>
      <c r="FF54" s="20"/>
      <c r="FG54" s="20"/>
      <c r="FH54" s="20"/>
      <c r="FI54" s="20"/>
      <c r="FJ54" s="20"/>
      <c r="FK54" s="20"/>
      <c r="FL54" s="20"/>
      <c r="FM54" s="20"/>
      <c r="FN54" s="20"/>
      <c r="FO54" s="20"/>
      <c r="FP54" s="20"/>
      <c r="FQ54" s="20"/>
      <c r="FR54" s="20"/>
      <c r="FS54" s="20"/>
      <c r="FT54" s="20"/>
      <c r="FU54" s="20"/>
      <c r="FV54" s="20"/>
      <c r="FW54" s="20"/>
      <c r="FX54" s="20"/>
      <c r="FY54" s="20"/>
      <c r="FZ54" s="20"/>
      <c r="GA54" s="20"/>
      <c r="GB54" s="20"/>
      <c r="GC54" s="20"/>
      <c r="GD54" s="20"/>
      <c r="GE54" s="20"/>
      <c r="GF54" s="20"/>
      <c r="GG54" s="20"/>
      <c r="GH54" s="20"/>
      <c r="GI54" s="20"/>
      <c r="GJ54" s="20"/>
      <c r="GK54" s="20"/>
      <c r="GL54" s="20"/>
      <c r="GM54" s="20"/>
      <c r="GN54" s="20"/>
      <c r="GO54" s="20"/>
      <c r="GP54" s="20"/>
      <c r="GQ54" s="20"/>
      <c r="GR54" s="20"/>
      <c r="GS54" s="20"/>
      <c r="GT54" s="20"/>
      <c r="GU54" s="20"/>
      <c r="GV54" s="20"/>
      <c r="GW54" s="20"/>
      <c r="GX54" s="20"/>
      <c r="GY54" s="20"/>
      <c r="GZ54" s="20"/>
      <c r="HA54" s="20"/>
      <c r="HB54" s="20"/>
      <c r="HC54" s="20"/>
      <c r="HD54" s="20"/>
      <c r="HE54" s="20"/>
      <c r="HF54" s="20"/>
      <c r="HG54" s="20"/>
      <c r="HH54" s="20"/>
      <c r="HI54" s="20"/>
      <c r="HJ54" s="20"/>
      <c r="HK54" s="20"/>
      <c r="HL54" s="20"/>
      <c r="HM54" s="20"/>
    </row>
    <row r="55" spans="1:221" s="11" customFormat="1" ht="55.95" customHeight="1" x14ac:dyDescent="0.3">
      <c r="A55" s="1">
        <v>59</v>
      </c>
      <c r="B55" s="6" t="s">
        <v>237</v>
      </c>
      <c r="C55" s="10" t="s">
        <v>278</v>
      </c>
      <c r="D55" s="7">
        <v>2025</v>
      </c>
      <c r="E55" s="13" t="s">
        <v>63</v>
      </c>
      <c r="F55" s="7">
        <v>0</v>
      </c>
      <c r="G55" s="1" t="str">
        <f t="shared" si="3"/>
        <v>Wang Y.</v>
      </c>
      <c r="H55" s="15" t="s">
        <v>345</v>
      </c>
      <c r="I55" s="15" t="s">
        <v>364</v>
      </c>
      <c r="J55" s="1" t="str">
        <f t="shared" si="4"/>
        <v>ENG</v>
      </c>
      <c r="K55" s="1" t="s">
        <v>222</v>
      </c>
      <c r="L55" s="1" t="s">
        <v>402</v>
      </c>
      <c r="M55" s="1" t="s">
        <v>425</v>
      </c>
      <c r="N55" s="1" t="s">
        <v>471</v>
      </c>
      <c r="O55" s="1" t="s">
        <v>460</v>
      </c>
      <c r="P55" s="1" t="s">
        <v>530</v>
      </c>
      <c r="Q55" s="1"/>
      <c r="R55" s="1" t="s">
        <v>390</v>
      </c>
      <c r="S55" s="6" t="s">
        <v>1973</v>
      </c>
      <c r="T55" s="6" t="s">
        <v>1974</v>
      </c>
      <c r="U55" s="6"/>
      <c r="V55" s="6" t="s">
        <v>1975</v>
      </c>
      <c r="W55" s="15" t="s">
        <v>531</v>
      </c>
      <c r="X55" s="6" t="s">
        <v>1976</v>
      </c>
      <c r="Y55" s="10"/>
      <c r="Z55" s="1">
        <v>4</v>
      </c>
      <c r="AA55" s="1">
        <v>3</v>
      </c>
      <c r="AB55" s="7" t="s">
        <v>566</v>
      </c>
      <c r="AC55" s="1" t="s">
        <v>578</v>
      </c>
      <c r="AD55" s="1" t="s">
        <v>573</v>
      </c>
      <c r="AE55" s="1" t="s">
        <v>225</v>
      </c>
      <c r="AF55" s="6"/>
      <c r="AG55" s="6" t="s">
        <v>695</v>
      </c>
      <c r="AH55" s="6" t="s">
        <v>696</v>
      </c>
      <c r="AI55" s="6"/>
      <c r="AJ55" s="20"/>
      <c r="AK55" s="23" cm="1">
        <f t="array" ref="AK55">_xlfn.IFS(AC55="Principles observation",1, AC55="Concept formulation",2, AC55="Proof-of-concept simulation", 3, AC55="Core function validation", 4, AC55="Integration component testing", 5, AC55="Component validation in relevant environment", 6, AC55="Subsystem demonstration in relevant environment", 7, AC55="System demonstration in operational environment", 8, AC55="Production qualification", 9, AC55="Mission-proven operations", 10)</f>
        <v>4</v>
      </c>
      <c r="AL55" s="23" cm="1">
        <f t="array" ref="AL55">_xlfn.IFS(AD55="Assistive GenAI", 1, AD55="GenAI-led with human oversight", 2, AD55="Autonomous process learning", 3)</f>
        <v>1</v>
      </c>
      <c r="AM55" s="20"/>
      <c r="AN55" s="20"/>
      <c r="AO55" s="20"/>
      <c r="AP55" s="20"/>
      <c r="AQ55" s="20"/>
      <c r="AR55" s="20"/>
      <c r="AS55" s="20"/>
      <c r="AT55" s="20"/>
      <c r="AU55" s="20"/>
      <c r="AV55" s="20"/>
      <c r="AW55" s="20"/>
      <c r="AX55" s="20"/>
      <c r="AY55" s="20"/>
      <c r="AZ55" s="20"/>
      <c r="BA55" s="20"/>
      <c r="BB55" s="20"/>
      <c r="BC55" s="20"/>
      <c r="BD55" s="20"/>
      <c r="BE55" s="20"/>
      <c r="BF55" s="20"/>
      <c r="BG55" s="20"/>
      <c r="BH55" s="20"/>
      <c r="BI55" s="20"/>
      <c r="BJ55" s="20"/>
      <c r="BK55" s="20"/>
      <c r="BL55" s="20"/>
      <c r="BM55" s="20"/>
      <c r="BN55" s="20"/>
      <c r="BO55" s="20"/>
      <c r="BP55" s="20"/>
      <c r="BQ55" s="20"/>
      <c r="BR55" s="20"/>
      <c r="BS55" s="20"/>
      <c r="BT55" s="20"/>
      <c r="BU55" s="20"/>
      <c r="BV55" s="20"/>
      <c r="BW55" s="20"/>
      <c r="BX55" s="20"/>
      <c r="BY55" s="20"/>
      <c r="BZ55" s="20"/>
      <c r="CA55" s="20"/>
      <c r="CB55" s="20"/>
      <c r="CC55" s="20"/>
      <c r="CD55" s="20"/>
      <c r="CE55" s="20"/>
      <c r="CF55" s="20"/>
      <c r="CG55" s="20"/>
      <c r="CH55" s="20"/>
      <c r="CI55" s="20"/>
      <c r="CJ55" s="20"/>
      <c r="CK55" s="20"/>
      <c r="CL55" s="20"/>
      <c r="CM55" s="20"/>
      <c r="CN55" s="20"/>
      <c r="CO55" s="20"/>
      <c r="CP55" s="20"/>
      <c r="CQ55" s="20"/>
      <c r="CR55" s="20"/>
      <c r="CS55" s="20"/>
      <c r="CT55" s="20"/>
      <c r="CU55" s="20"/>
      <c r="CV55" s="20"/>
      <c r="CW55" s="20"/>
      <c r="CX55" s="20"/>
      <c r="CY55" s="20"/>
      <c r="CZ55" s="20"/>
      <c r="DA55" s="20"/>
      <c r="DB55" s="20"/>
      <c r="DC55" s="20"/>
      <c r="DD55" s="20"/>
      <c r="DE55" s="20"/>
      <c r="DF55" s="20"/>
      <c r="DG55" s="20"/>
      <c r="DH55" s="20"/>
      <c r="DI55" s="20"/>
      <c r="DJ55" s="20"/>
      <c r="DK55" s="20"/>
      <c r="DL55" s="20"/>
      <c r="DM55" s="20"/>
      <c r="DN55" s="20"/>
      <c r="DO55" s="20"/>
      <c r="DP55" s="20"/>
      <c r="DQ55" s="20"/>
      <c r="DR55" s="20"/>
      <c r="DS55" s="20"/>
      <c r="DT55" s="20"/>
      <c r="DU55" s="20"/>
      <c r="DV55" s="20"/>
      <c r="DW55" s="20"/>
      <c r="DX55" s="20"/>
      <c r="DY55" s="20"/>
      <c r="DZ55" s="20"/>
      <c r="EA55" s="20"/>
      <c r="EB55" s="20"/>
      <c r="EC55" s="20"/>
      <c r="ED55" s="20"/>
      <c r="EE55" s="20"/>
      <c r="EF55" s="20"/>
      <c r="EG55" s="20"/>
      <c r="EH55" s="20"/>
      <c r="EI55" s="20"/>
      <c r="EJ55" s="20"/>
      <c r="EK55" s="20"/>
      <c r="EL55" s="20"/>
      <c r="EM55" s="20"/>
      <c r="EN55" s="20"/>
      <c r="EO55" s="20"/>
      <c r="EP55" s="20"/>
      <c r="EQ55" s="20"/>
      <c r="ER55" s="20"/>
      <c r="ES55" s="20"/>
      <c r="ET55" s="20"/>
      <c r="EU55" s="20"/>
      <c r="EV55" s="20"/>
      <c r="EW55" s="20"/>
      <c r="EX55" s="20"/>
      <c r="EY55" s="20"/>
      <c r="EZ55" s="20"/>
      <c r="FA55" s="20"/>
      <c r="FB55" s="20"/>
      <c r="FC55" s="20"/>
      <c r="FD55" s="20"/>
      <c r="FE55" s="20"/>
      <c r="FF55" s="20"/>
      <c r="FG55" s="20"/>
      <c r="FH55" s="20"/>
      <c r="FI55" s="20"/>
      <c r="FJ55" s="20"/>
      <c r="FK55" s="20"/>
      <c r="FL55" s="20"/>
      <c r="FM55" s="20"/>
      <c r="FN55" s="20"/>
      <c r="FO55" s="20"/>
      <c r="FP55" s="20"/>
      <c r="FQ55" s="20"/>
      <c r="FR55" s="20"/>
      <c r="FS55" s="20"/>
      <c r="FT55" s="20"/>
      <c r="FU55" s="20"/>
      <c r="FV55" s="20"/>
      <c r="FW55" s="20"/>
      <c r="FX55" s="20"/>
      <c r="FY55" s="20"/>
      <c r="FZ55" s="20"/>
      <c r="GA55" s="20"/>
      <c r="GB55" s="20"/>
      <c r="GC55" s="20"/>
      <c r="GD55" s="20"/>
      <c r="GE55" s="20"/>
      <c r="GF55" s="20"/>
      <c r="GG55" s="20"/>
      <c r="GH55" s="20"/>
      <c r="GI55" s="20"/>
      <c r="GJ55" s="20"/>
      <c r="GK55" s="20"/>
      <c r="GL55" s="20"/>
      <c r="GM55" s="20"/>
      <c r="GN55" s="20"/>
      <c r="GO55" s="20"/>
      <c r="GP55" s="20"/>
      <c r="GQ55" s="20"/>
      <c r="GR55" s="20"/>
      <c r="GS55" s="20"/>
      <c r="GT55" s="20"/>
      <c r="GU55" s="20"/>
      <c r="GV55" s="20"/>
      <c r="GW55" s="20"/>
      <c r="GX55" s="20"/>
      <c r="GY55" s="20"/>
      <c r="GZ55" s="20"/>
      <c r="HA55" s="20"/>
      <c r="HB55" s="20"/>
      <c r="HC55" s="20"/>
      <c r="HD55" s="20"/>
      <c r="HE55" s="20"/>
      <c r="HF55" s="20"/>
      <c r="HG55" s="20"/>
      <c r="HH55" s="20"/>
      <c r="HI55" s="20"/>
      <c r="HJ55" s="20"/>
      <c r="HK55" s="20"/>
      <c r="HL55" s="20"/>
      <c r="HM55" s="20"/>
    </row>
    <row r="56" spans="1:221" s="11" customFormat="1" ht="55.95" customHeight="1" x14ac:dyDescent="0.3">
      <c r="A56" s="1">
        <v>61</v>
      </c>
      <c r="B56" s="6" t="s">
        <v>43</v>
      </c>
      <c r="C56" s="10" t="s">
        <v>280</v>
      </c>
      <c r="D56" s="7">
        <v>2025</v>
      </c>
      <c r="E56" s="13" t="s">
        <v>57</v>
      </c>
      <c r="F56" s="7">
        <v>0</v>
      </c>
      <c r="G56" s="1" t="str">
        <f t="shared" si="3"/>
        <v>Li X.</v>
      </c>
      <c r="H56" s="15" t="s">
        <v>197</v>
      </c>
      <c r="I56" s="15" t="s">
        <v>115</v>
      </c>
      <c r="J56" s="1" t="str">
        <f t="shared" si="4"/>
        <v>ENG</v>
      </c>
      <c r="K56" s="1" t="s">
        <v>222</v>
      </c>
      <c r="L56" s="1" t="s">
        <v>402</v>
      </c>
      <c r="M56" s="1" t="s">
        <v>425</v>
      </c>
      <c r="N56" s="1" t="s">
        <v>383</v>
      </c>
      <c r="O56" s="1"/>
      <c r="P56" s="1"/>
      <c r="Q56" s="1" t="s">
        <v>533</v>
      </c>
      <c r="R56" s="1" t="s">
        <v>534</v>
      </c>
      <c r="S56" s="6" t="s">
        <v>1977</v>
      </c>
      <c r="T56" s="6" t="s">
        <v>1978</v>
      </c>
      <c r="U56" s="6"/>
      <c r="V56" s="6" t="s">
        <v>1979</v>
      </c>
      <c r="W56" s="15" t="s">
        <v>535</v>
      </c>
      <c r="X56" s="6" t="s">
        <v>1980</v>
      </c>
      <c r="Y56" s="6" t="s">
        <v>536</v>
      </c>
      <c r="Z56" s="1">
        <v>4</v>
      </c>
      <c r="AA56" s="1">
        <v>3</v>
      </c>
      <c r="AB56" s="1" t="s">
        <v>602</v>
      </c>
      <c r="AC56" s="1" t="s">
        <v>587</v>
      </c>
      <c r="AD56" s="1" t="s">
        <v>573</v>
      </c>
      <c r="AE56" s="1" t="s">
        <v>225</v>
      </c>
      <c r="AF56" s="6"/>
      <c r="AG56" s="6" t="s">
        <v>697</v>
      </c>
      <c r="AH56" s="6" t="s">
        <v>698</v>
      </c>
      <c r="AI56" s="6"/>
      <c r="AJ56" s="20"/>
      <c r="AK56" s="23" cm="1">
        <f t="array" ref="AK56">_xlfn.IFS(AC56="Principles observation",1, AC56="Concept formulation",2, AC56="Proof-of-concept simulation", 3, AC56="Core function validation", 4, AC56="Integration component testing", 5, AC56="Component validation in relevant environment", 6, AC56="Subsystem demonstration in relevant environment", 7, AC56="System demonstration in operational environment", 8, AC56="Production qualification", 9, AC56="Mission-proven operations", 10)</f>
        <v>3</v>
      </c>
      <c r="AL56" s="23" cm="1">
        <f t="array" ref="AL56">_xlfn.IFS(AD56="Assistive GenAI", 1, AD56="GenAI-led with human oversight", 2, AD56="Autonomous process learning", 3)</f>
        <v>1</v>
      </c>
      <c r="AM56" s="20"/>
      <c r="AN56" s="20"/>
      <c r="AO56" s="20"/>
      <c r="AP56" s="20"/>
      <c r="AQ56" s="20"/>
      <c r="AR56" s="20"/>
      <c r="AS56" s="20"/>
      <c r="AT56" s="20"/>
      <c r="AU56" s="20"/>
      <c r="AV56" s="20"/>
      <c r="AW56" s="20"/>
      <c r="AX56" s="20"/>
      <c r="AY56" s="20"/>
      <c r="AZ56" s="20"/>
      <c r="BA56" s="20"/>
      <c r="BB56" s="20"/>
      <c r="BC56" s="20"/>
      <c r="BD56" s="20"/>
      <c r="BE56" s="20"/>
      <c r="BF56" s="20"/>
      <c r="BG56" s="20"/>
      <c r="BH56" s="20"/>
      <c r="BI56" s="20"/>
      <c r="BJ56" s="20"/>
      <c r="BK56" s="20"/>
      <c r="BL56" s="20"/>
      <c r="BM56" s="20"/>
      <c r="BN56" s="20"/>
      <c r="BO56" s="20"/>
      <c r="BP56" s="20"/>
      <c r="BQ56" s="20"/>
      <c r="BR56" s="20"/>
      <c r="BS56" s="20"/>
      <c r="BT56" s="20"/>
      <c r="BU56" s="20"/>
      <c r="BV56" s="20"/>
      <c r="BW56" s="20"/>
      <c r="BX56" s="20"/>
      <c r="BY56" s="20"/>
      <c r="BZ56" s="20"/>
      <c r="CA56" s="20"/>
      <c r="CB56" s="20"/>
      <c r="CC56" s="20"/>
      <c r="CD56" s="20"/>
      <c r="CE56" s="20"/>
      <c r="CF56" s="20"/>
      <c r="CG56" s="20"/>
      <c r="CH56" s="20"/>
      <c r="CI56" s="20"/>
      <c r="CJ56" s="20"/>
      <c r="CK56" s="20"/>
      <c r="CL56" s="20"/>
      <c r="CM56" s="20"/>
      <c r="CN56" s="20"/>
      <c r="CO56" s="20"/>
      <c r="CP56" s="20"/>
      <c r="CQ56" s="20"/>
      <c r="CR56" s="20"/>
      <c r="CS56" s="20"/>
      <c r="CT56" s="20"/>
      <c r="CU56" s="20"/>
      <c r="CV56" s="20"/>
      <c r="CW56" s="20"/>
      <c r="CX56" s="20"/>
      <c r="CY56" s="20"/>
      <c r="CZ56" s="20"/>
      <c r="DA56" s="20"/>
      <c r="DB56" s="20"/>
      <c r="DC56" s="20"/>
      <c r="DD56" s="20"/>
      <c r="DE56" s="20"/>
      <c r="DF56" s="20"/>
      <c r="DG56" s="20"/>
      <c r="DH56" s="20"/>
      <c r="DI56" s="20"/>
      <c r="DJ56" s="20"/>
      <c r="DK56" s="20"/>
      <c r="DL56" s="20"/>
      <c r="DM56" s="20"/>
      <c r="DN56" s="20"/>
      <c r="DO56" s="20"/>
      <c r="DP56" s="20"/>
      <c r="DQ56" s="20"/>
      <c r="DR56" s="20"/>
      <c r="DS56" s="20"/>
      <c r="DT56" s="20"/>
      <c r="DU56" s="20"/>
      <c r="DV56" s="20"/>
      <c r="DW56" s="20"/>
      <c r="DX56" s="20"/>
      <c r="DY56" s="20"/>
      <c r="DZ56" s="20"/>
      <c r="EA56" s="20"/>
      <c r="EB56" s="20"/>
      <c r="EC56" s="20"/>
      <c r="ED56" s="20"/>
      <c r="EE56" s="20"/>
      <c r="EF56" s="20"/>
      <c r="EG56" s="20"/>
      <c r="EH56" s="20"/>
      <c r="EI56" s="20"/>
      <c r="EJ56" s="20"/>
      <c r="EK56" s="20"/>
      <c r="EL56" s="20"/>
      <c r="EM56" s="20"/>
      <c r="EN56" s="20"/>
      <c r="EO56" s="20"/>
      <c r="EP56" s="20"/>
      <c r="EQ56" s="20"/>
      <c r="ER56" s="20"/>
      <c r="ES56" s="20"/>
      <c r="ET56" s="20"/>
      <c r="EU56" s="20"/>
      <c r="EV56" s="20"/>
      <c r="EW56" s="20"/>
      <c r="EX56" s="20"/>
      <c r="EY56" s="20"/>
      <c r="EZ56" s="20"/>
      <c r="FA56" s="20"/>
      <c r="FB56" s="20"/>
      <c r="FC56" s="20"/>
      <c r="FD56" s="20"/>
      <c r="FE56" s="20"/>
      <c r="FF56" s="20"/>
      <c r="FG56" s="20"/>
      <c r="FH56" s="20"/>
      <c r="FI56" s="20"/>
      <c r="FJ56" s="20"/>
      <c r="FK56" s="20"/>
      <c r="FL56" s="20"/>
      <c r="FM56" s="20"/>
      <c r="FN56" s="20"/>
      <c r="FO56" s="20"/>
      <c r="FP56" s="20"/>
      <c r="FQ56" s="20"/>
      <c r="FR56" s="20"/>
      <c r="FS56" s="20"/>
      <c r="FT56" s="20"/>
      <c r="FU56" s="20"/>
      <c r="FV56" s="20"/>
      <c r="FW56" s="20"/>
      <c r="FX56" s="20"/>
      <c r="FY56" s="20"/>
      <c r="FZ56" s="20"/>
      <c r="GA56" s="20"/>
      <c r="GB56" s="20"/>
      <c r="GC56" s="20"/>
      <c r="GD56" s="20"/>
      <c r="GE56" s="20"/>
      <c r="GF56" s="20"/>
      <c r="GG56" s="20"/>
      <c r="GH56" s="20"/>
      <c r="GI56" s="20"/>
      <c r="GJ56" s="20"/>
      <c r="GK56" s="20"/>
      <c r="GL56" s="20"/>
      <c r="GM56" s="20"/>
      <c r="GN56" s="20"/>
      <c r="GO56" s="20"/>
      <c r="GP56" s="20"/>
      <c r="GQ56" s="20"/>
      <c r="GR56" s="20"/>
      <c r="GS56" s="20"/>
      <c r="GT56" s="20"/>
      <c r="GU56" s="20"/>
      <c r="GV56" s="20"/>
      <c r="GW56" s="20"/>
      <c r="GX56" s="20"/>
      <c r="GY56" s="20"/>
      <c r="GZ56" s="20"/>
      <c r="HA56" s="20"/>
      <c r="HB56" s="20"/>
      <c r="HC56" s="20"/>
      <c r="HD56" s="20"/>
      <c r="HE56" s="20"/>
      <c r="HF56" s="20"/>
      <c r="HG56" s="20"/>
      <c r="HH56" s="20"/>
      <c r="HI56" s="20"/>
      <c r="HJ56" s="20"/>
      <c r="HK56" s="20"/>
      <c r="HL56" s="20"/>
      <c r="HM56" s="20"/>
    </row>
    <row r="57" spans="1:221" s="11" customFormat="1" ht="55.95" customHeight="1" x14ac:dyDescent="0.3">
      <c r="A57" s="1">
        <v>62</v>
      </c>
      <c r="B57" s="6" t="s">
        <v>16</v>
      </c>
      <c r="C57" s="10" t="s">
        <v>281</v>
      </c>
      <c r="D57" s="7">
        <v>2025</v>
      </c>
      <c r="E57" s="13" t="s">
        <v>59</v>
      </c>
      <c r="F57" s="7">
        <v>0</v>
      </c>
      <c r="G57" s="1" t="str">
        <f t="shared" si="3"/>
        <v>Wang B.</v>
      </c>
      <c r="H57" s="15" t="s">
        <v>182</v>
      </c>
      <c r="I57" s="15" t="s">
        <v>86</v>
      </c>
      <c r="J57" s="1" t="str">
        <f t="shared" si="4"/>
        <v>ENG</v>
      </c>
      <c r="K57" s="1" t="s">
        <v>222</v>
      </c>
      <c r="L57" s="1" t="s">
        <v>402</v>
      </c>
      <c r="M57" s="1" t="s">
        <v>425</v>
      </c>
      <c r="N57" s="1" t="s">
        <v>224</v>
      </c>
      <c r="O57" s="1" t="s">
        <v>385</v>
      </c>
      <c r="P57" s="1" t="s">
        <v>537</v>
      </c>
      <c r="Q57" s="1" t="s">
        <v>538</v>
      </c>
      <c r="R57" s="1" t="s">
        <v>386</v>
      </c>
      <c r="S57" s="6" t="s">
        <v>1981</v>
      </c>
      <c r="T57" s="6" t="s">
        <v>1982</v>
      </c>
      <c r="U57" s="6"/>
      <c r="V57" s="6" t="s">
        <v>1983</v>
      </c>
      <c r="W57" s="15" t="s">
        <v>539</v>
      </c>
      <c r="X57" s="6" t="s">
        <v>1984</v>
      </c>
      <c r="Y57" s="6"/>
      <c r="Z57" s="1">
        <v>4</v>
      </c>
      <c r="AA57" s="1">
        <v>3</v>
      </c>
      <c r="AB57" s="7" t="s">
        <v>566</v>
      </c>
      <c r="AC57" s="1" t="s">
        <v>578</v>
      </c>
      <c r="AD57" s="1" t="s">
        <v>573</v>
      </c>
      <c r="AE57" s="1" t="s">
        <v>225</v>
      </c>
      <c r="AF57" s="6"/>
      <c r="AG57" s="6" t="s">
        <v>699</v>
      </c>
      <c r="AH57" s="6" t="s">
        <v>700</v>
      </c>
      <c r="AI57" s="6"/>
      <c r="AJ57" s="20"/>
      <c r="AK57" s="23" cm="1">
        <f t="array" ref="AK57">_xlfn.IFS(AC57="Principles observation",1, AC57="Concept formulation",2, AC57="Proof-of-concept simulation", 3, AC57="Core function validation", 4, AC57="Integration component testing", 5, AC57="Component validation in relevant environment", 6, AC57="Subsystem demonstration in relevant environment", 7, AC57="System demonstration in operational environment", 8, AC57="Production qualification", 9, AC57="Mission-proven operations", 10)</f>
        <v>4</v>
      </c>
      <c r="AL57" s="23" cm="1">
        <f t="array" ref="AL57">_xlfn.IFS(AD57="Assistive GenAI", 1, AD57="GenAI-led with human oversight", 2, AD57="Autonomous process learning", 3)</f>
        <v>1</v>
      </c>
      <c r="AM57" s="20"/>
      <c r="AN57" s="20"/>
      <c r="AO57" s="20"/>
      <c r="AP57" s="20"/>
      <c r="AQ57" s="20"/>
      <c r="AR57" s="20"/>
      <c r="AS57" s="20"/>
      <c r="AT57" s="20"/>
      <c r="AU57" s="20"/>
      <c r="AV57" s="20"/>
      <c r="AW57" s="20"/>
      <c r="AX57" s="20"/>
      <c r="AY57" s="20"/>
      <c r="AZ57" s="20"/>
      <c r="BA57" s="20"/>
      <c r="BB57" s="20"/>
      <c r="BC57" s="20"/>
      <c r="BD57" s="20"/>
      <c r="BE57" s="20"/>
      <c r="BF57" s="20"/>
      <c r="BG57" s="20"/>
      <c r="BH57" s="20"/>
      <c r="BI57" s="20"/>
      <c r="BJ57" s="20"/>
      <c r="BK57" s="20"/>
      <c r="BL57" s="20"/>
      <c r="BM57" s="20"/>
      <c r="BN57" s="20"/>
      <c r="BO57" s="20"/>
      <c r="BP57" s="20"/>
      <c r="BQ57" s="20"/>
      <c r="BR57" s="20"/>
      <c r="BS57" s="20"/>
      <c r="BT57" s="20"/>
      <c r="BU57" s="20"/>
      <c r="BV57" s="20"/>
      <c r="BW57" s="20"/>
      <c r="BX57" s="20"/>
      <c r="BY57" s="20"/>
      <c r="BZ57" s="20"/>
      <c r="CA57" s="20"/>
      <c r="CB57" s="20"/>
      <c r="CC57" s="20"/>
      <c r="CD57" s="20"/>
      <c r="CE57" s="20"/>
      <c r="CF57" s="20"/>
      <c r="CG57" s="20"/>
      <c r="CH57" s="20"/>
      <c r="CI57" s="20"/>
      <c r="CJ57" s="20"/>
      <c r="CK57" s="20"/>
      <c r="CL57" s="20"/>
      <c r="CM57" s="20"/>
      <c r="CN57" s="20"/>
      <c r="CO57" s="20"/>
      <c r="CP57" s="20"/>
      <c r="CQ57" s="20"/>
      <c r="CR57" s="20"/>
      <c r="CS57" s="20"/>
      <c r="CT57" s="20"/>
      <c r="CU57" s="20"/>
      <c r="CV57" s="20"/>
      <c r="CW57" s="20"/>
      <c r="CX57" s="20"/>
      <c r="CY57" s="20"/>
      <c r="CZ57" s="20"/>
      <c r="DA57" s="20"/>
      <c r="DB57" s="20"/>
      <c r="DC57" s="20"/>
      <c r="DD57" s="20"/>
      <c r="DE57" s="20"/>
      <c r="DF57" s="20"/>
      <c r="DG57" s="20"/>
      <c r="DH57" s="20"/>
      <c r="DI57" s="20"/>
      <c r="DJ57" s="20"/>
      <c r="DK57" s="20"/>
      <c r="DL57" s="20"/>
      <c r="DM57" s="20"/>
      <c r="DN57" s="20"/>
      <c r="DO57" s="20"/>
      <c r="DP57" s="20"/>
      <c r="DQ57" s="20"/>
      <c r="DR57" s="20"/>
      <c r="DS57" s="20"/>
      <c r="DT57" s="20"/>
      <c r="DU57" s="20"/>
      <c r="DV57" s="20"/>
      <c r="DW57" s="20"/>
      <c r="DX57" s="20"/>
      <c r="DY57" s="20"/>
      <c r="DZ57" s="20"/>
      <c r="EA57" s="20"/>
      <c r="EB57" s="20"/>
      <c r="EC57" s="20"/>
      <c r="ED57" s="20"/>
      <c r="EE57" s="20"/>
      <c r="EF57" s="20"/>
      <c r="EG57" s="20"/>
      <c r="EH57" s="20"/>
      <c r="EI57" s="20"/>
      <c r="EJ57" s="20"/>
      <c r="EK57" s="20"/>
      <c r="EL57" s="20"/>
      <c r="EM57" s="20"/>
      <c r="EN57" s="20"/>
      <c r="EO57" s="20"/>
      <c r="EP57" s="20"/>
      <c r="EQ57" s="20"/>
      <c r="ER57" s="20"/>
      <c r="ES57" s="20"/>
      <c r="ET57" s="20"/>
      <c r="EU57" s="20"/>
      <c r="EV57" s="20"/>
      <c r="EW57" s="20"/>
      <c r="EX57" s="20"/>
      <c r="EY57" s="20"/>
      <c r="EZ57" s="20"/>
      <c r="FA57" s="20"/>
      <c r="FB57" s="20"/>
      <c r="FC57" s="20"/>
      <c r="FD57" s="20"/>
      <c r="FE57" s="20"/>
      <c r="FF57" s="20"/>
      <c r="FG57" s="20"/>
      <c r="FH57" s="20"/>
      <c r="FI57" s="20"/>
      <c r="FJ57" s="20"/>
      <c r="FK57" s="20"/>
      <c r="FL57" s="20"/>
      <c r="FM57" s="20"/>
      <c r="FN57" s="20"/>
      <c r="FO57" s="20"/>
      <c r="FP57" s="20"/>
      <c r="FQ57" s="20"/>
      <c r="FR57" s="20"/>
      <c r="FS57" s="20"/>
      <c r="FT57" s="20"/>
      <c r="FU57" s="20"/>
      <c r="FV57" s="20"/>
      <c r="FW57" s="20"/>
      <c r="FX57" s="20"/>
      <c r="FY57" s="20"/>
      <c r="FZ57" s="20"/>
      <c r="GA57" s="20"/>
      <c r="GB57" s="20"/>
      <c r="GC57" s="20"/>
      <c r="GD57" s="20"/>
      <c r="GE57" s="20"/>
      <c r="GF57" s="20"/>
      <c r="GG57" s="20"/>
      <c r="GH57" s="20"/>
      <c r="GI57" s="20"/>
      <c r="GJ57" s="20"/>
      <c r="GK57" s="20"/>
      <c r="GL57" s="20"/>
      <c r="GM57" s="20"/>
      <c r="GN57" s="20"/>
      <c r="GO57" s="20"/>
      <c r="GP57" s="20"/>
      <c r="GQ57" s="20"/>
      <c r="GR57" s="20"/>
      <c r="GS57" s="20"/>
      <c r="GT57" s="20"/>
      <c r="GU57" s="20"/>
      <c r="GV57" s="20"/>
      <c r="GW57" s="20"/>
      <c r="GX57" s="20"/>
      <c r="GY57" s="20"/>
      <c r="GZ57" s="20"/>
      <c r="HA57" s="20"/>
      <c r="HB57" s="20"/>
      <c r="HC57" s="20"/>
      <c r="HD57" s="20"/>
      <c r="HE57" s="20"/>
      <c r="HF57" s="20"/>
      <c r="HG57" s="20"/>
      <c r="HH57" s="20"/>
      <c r="HI57" s="20"/>
      <c r="HJ57" s="20"/>
      <c r="HK57" s="20"/>
      <c r="HL57" s="20"/>
      <c r="HM57" s="20"/>
    </row>
    <row r="58" spans="1:221" s="11" customFormat="1" ht="55.95" customHeight="1" x14ac:dyDescent="0.3">
      <c r="A58" s="1">
        <v>63</v>
      </c>
      <c r="B58" s="6" t="s">
        <v>28</v>
      </c>
      <c r="C58" s="10" t="s">
        <v>285</v>
      </c>
      <c r="D58" s="7">
        <v>2025</v>
      </c>
      <c r="E58" s="13" t="s">
        <v>59</v>
      </c>
      <c r="F58" s="7">
        <v>0</v>
      </c>
      <c r="G58" s="1" t="str">
        <f t="shared" si="3"/>
        <v>Wang Z.</v>
      </c>
      <c r="H58" s="15" t="s">
        <v>188</v>
      </c>
      <c r="I58" s="15" t="s">
        <v>98</v>
      </c>
      <c r="J58" s="1" t="str">
        <f t="shared" si="4"/>
        <v>ENG</v>
      </c>
      <c r="K58" s="1" t="s">
        <v>222</v>
      </c>
      <c r="L58" s="1" t="s">
        <v>402</v>
      </c>
      <c r="M58" s="1" t="s">
        <v>425</v>
      </c>
      <c r="N58" s="1" t="s">
        <v>471</v>
      </c>
      <c r="O58" s="1" t="s">
        <v>540</v>
      </c>
      <c r="P58" s="1"/>
      <c r="Q58" s="1"/>
      <c r="R58" s="1" t="s">
        <v>423</v>
      </c>
      <c r="S58" s="6" t="s">
        <v>1985</v>
      </c>
      <c r="T58" s="6" t="s">
        <v>1986</v>
      </c>
      <c r="U58" s="6"/>
      <c r="V58" s="6" t="s">
        <v>1987</v>
      </c>
      <c r="W58" s="15" t="s">
        <v>541</v>
      </c>
      <c r="X58" s="6" t="s">
        <v>1988</v>
      </c>
      <c r="Y58" s="6"/>
      <c r="Z58" s="1">
        <v>4</v>
      </c>
      <c r="AA58" s="1">
        <v>3</v>
      </c>
      <c r="AB58" s="7" t="s">
        <v>566</v>
      </c>
      <c r="AC58" s="1" t="s">
        <v>590</v>
      </c>
      <c r="AD58" s="1" t="s">
        <v>574</v>
      </c>
      <c r="AE58" s="1" t="s">
        <v>225</v>
      </c>
      <c r="AF58" s="6"/>
      <c r="AG58" s="6" t="s">
        <v>701</v>
      </c>
      <c r="AH58" s="6" t="s">
        <v>702</v>
      </c>
      <c r="AI58" s="6"/>
      <c r="AJ58" s="20"/>
      <c r="AK58" s="23" cm="1">
        <f t="array" ref="AK58">_xlfn.IFS(AC58="Principles observation",1, AC58="Concept formulation",2, AC58="Proof-of-concept simulation", 3, AC58="Core function validation", 4, AC58="Integration component testing", 5, AC58="Component validation in relevant environment", 6, AC58="Subsystem demonstration in relevant environment", 7, AC58="System demonstration in operational environment", 8, AC58="Production qualification", 9, AC58="Mission-proven operations", 10)</f>
        <v>5</v>
      </c>
      <c r="AL58" s="23" cm="1">
        <f t="array" ref="AL58">_xlfn.IFS(AD58="Assistive GenAI", 1, AD58="GenAI-led with human oversight", 2, AD58="Autonomous process learning", 3)</f>
        <v>2</v>
      </c>
      <c r="AM58" s="20"/>
      <c r="AN58" s="20"/>
      <c r="AO58" s="20"/>
      <c r="AP58" s="20"/>
      <c r="AQ58" s="20"/>
      <c r="AR58" s="20"/>
      <c r="AS58" s="20"/>
      <c r="AT58" s="20"/>
      <c r="AU58" s="20"/>
      <c r="AV58" s="20"/>
      <c r="AW58" s="20"/>
      <c r="AX58" s="20"/>
      <c r="AY58" s="20"/>
      <c r="AZ58" s="20"/>
      <c r="BA58" s="20"/>
      <c r="BB58" s="20"/>
      <c r="BC58" s="20"/>
      <c r="BD58" s="20"/>
      <c r="BE58" s="20"/>
      <c r="BF58" s="20"/>
      <c r="BG58" s="20"/>
      <c r="BH58" s="20"/>
      <c r="BI58" s="20"/>
      <c r="BJ58" s="20"/>
      <c r="BK58" s="20"/>
      <c r="BL58" s="20"/>
      <c r="BM58" s="20"/>
      <c r="BN58" s="20"/>
      <c r="BO58" s="20"/>
      <c r="BP58" s="20"/>
      <c r="BQ58" s="20"/>
      <c r="BR58" s="20"/>
      <c r="BS58" s="20"/>
      <c r="BT58" s="20"/>
      <c r="BU58" s="20"/>
      <c r="BV58" s="20"/>
      <c r="BW58" s="20"/>
      <c r="BX58" s="20"/>
      <c r="BY58" s="20"/>
      <c r="BZ58" s="20"/>
      <c r="CA58" s="20"/>
      <c r="CB58" s="20"/>
      <c r="CC58" s="20"/>
      <c r="CD58" s="20"/>
      <c r="CE58" s="20"/>
      <c r="CF58" s="20"/>
      <c r="CG58" s="20"/>
      <c r="CH58" s="20"/>
      <c r="CI58" s="20"/>
      <c r="CJ58" s="20"/>
      <c r="CK58" s="20"/>
      <c r="CL58" s="20"/>
      <c r="CM58" s="20"/>
      <c r="CN58" s="20"/>
      <c r="CO58" s="20"/>
      <c r="CP58" s="20"/>
      <c r="CQ58" s="20"/>
      <c r="CR58" s="20"/>
      <c r="CS58" s="20"/>
      <c r="CT58" s="20"/>
      <c r="CU58" s="20"/>
      <c r="CV58" s="20"/>
      <c r="CW58" s="20"/>
      <c r="CX58" s="20"/>
      <c r="CY58" s="20"/>
      <c r="CZ58" s="20"/>
      <c r="DA58" s="20"/>
      <c r="DB58" s="20"/>
      <c r="DC58" s="20"/>
      <c r="DD58" s="20"/>
      <c r="DE58" s="20"/>
      <c r="DF58" s="20"/>
      <c r="DG58" s="20"/>
      <c r="DH58" s="20"/>
      <c r="DI58" s="20"/>
      <c r="DJ58" s="20"/>
      <c r="DK58" s="20"/>
      <c r="DL58" s="20"/>
      <c r="DM58" s="20"/>
      <c r="DN58" s="20"/>
      <c r="DO58" s="20"/>
      <c r="DP58" s="20"/>
      <c r="DQ58" s="20"/>
      <c r="DR58" s="20"/>
      <c r="DS58" s="20"/>
      <c r="DT58" s="20"/>
      <c r="DU58" s="20"/>
      <c r="DV58" s="20"/>
      <c r="DW58" s="20"/>
      <c r="DX58" s="20"/>
      <c r="DY58" s="20"/>
      <c r="DZ58" s="20"/>
      <c r="EA58" s="20"/>
      <c r="EB58" s="20"/>
      <c r="EC58" s="20"/>
      <c r="ED58" s="20"/>
      <c r="EE58" s="20"/>
      <c r="EF58" s="20"/>
      <c r="EG58" s="20"/>
      <c r="EH58" s="20"/>
      <c r="EI58" s="20"/>
      <c r="EJ58" s="20"/>
      <c r="EK58" s="20"/>
      <c r="EL58" s="20"/>
      <c r="EM58" s="20"/>
      <c r="EN58" s="20"/>
      <c r="EO58" s="20"/>
      <c r="EP58" s="20"/>
      <c r="EQ58" s="20"/>
      <c r="ER58" s="20"/>
      <c r="ES58" s="20"/>
      <c r="ET58" s="20"/>
      <c r="EU58" s="20"/>
      <c r="EV58" s="20"/>
      <c r="EW58" s="20"/>
      <c r="EX58" s="20"/>
      <c r="EY58" s="20"/>
      <c r="EZ58" s="20"/>
      <c r="FA58" s="20"/>
      <c r="FB58" s="20"/>
      <c r="FC58" s="20"/>
      <c r="FD58" s="20"/>
      <c r="FE58" s="20"/>
      <c r="FF58" s="20"/>
      <c r="FG58" s="20"/>
      <c r="FH58" s="20"/>
      <c r="FI58" s="20"/>
      <c r="FJ58" s="20"/>
      <c r="FK58" s="20"/>
      <c r="FL58" s="20"/>
      <c r="FM58" s="20"/>
      <c r="FN58" s="20"/>
      <c r="FO58" s="20"/>
      <c r="FP58" s="20"/>
      <c r="FQ58" s="20"/>
      <c r="FR58" s="20"/>
      <c r="FS58" s="20"/>
      <c r="FT58" s="20"/>
      <c r="FU58" s="20"/>
      <c r="FV58" s="20"/>
      <c r="FW58" s="20"/>
      <c r="FX58" s="20"/>
      <c r="FY58" s="20"/>
      <c r="FZ58" s="20"/>
      <c r="GA58" s="20"/>
      <c r="GB58" s="20"/>
      <c r="GC58" s="20"/>
      <c r="GD58" s="20"/>
      <c r="GE58" s="20"/>
      <c r="GF58" s="20"/>
      <c r="GG58" s="20"/>
      <c r="GH58" s="20"/>
      <c r="GI58" s="20"/>
      <c r="GJ58" s="20"/>
      <c r="GK58" s="20"/>
      <c r="GL58" s="20"/>
      <c r="GM58" s="20"/>
      <c r="GN58" s="20"/>
      <c r="GO58" s="20"/>
      <c r="GP58" s="20"/>
      <c r="GQ58" s="20"/>
      <c r="GR58" s="20"/>
      <c r="GS58" s="20"/>
      <c r="GT58" s="20"/>
      <c r="GU58" s="20"/>
      <c r="GV58" s="20"/>
      <c r="GW58" s="20"/>
      <c r="GX58" s="20"/>
      <c r="GY58" s="20"/>
      <c r="GZ58" s="20"/>
      <c r="HA58" s="20"/>
      <c r="HB58" s="20"/>
      <c r="HC58" s="20"/>
      <c r="HD58" s="20"/>
      <c r="HE58" s="20"/>
      <c r="HF58" s="20"/>
      <c r="HG58" s="20"/>
      <c r="HH58" s="20"/>
      <c r="HI58" s="20"/>
      <c r="HJ58" s="20"/>
      <c r="HK58" s="20"/>
      <c r="HL58" s="20"/>
      <c r="HM58" s="20"/>
    </row>
    <row r="59" spans="1:221" s="11" customFormat="1" ht="55.95" customHeight="1" x14ac:dyDescent="0.3">
      <c r="A59" s="1">
        <v>64</v>
      </c>
      <c r="B59" s="6" t="s">
        <v>41</v>
      </c>
      <c r="C59" s="10" t="s">
        <v>286</v>
      </c>
      <c r="D59" s="7">
        <v>2025</v>
      </c>
      <c r="E59" s="13" t="s">
        <v>59</v>
      </c>
      <c r="F59" s="7">
        <v>0</v>
      </c>
      <c r="G59" s="1" t="str">
        <f t="shared" si="3"/>
        <v>Liu C.</v>
      </c>
      <c r="H59" s="15" t="s">
        <v>193</v>
      </c>
      <c r="I59" s="15" t="s">
        <v>113</v>
      </c>
      <c r="J59" s="1" t="str">
        <f t="shared" si="4"/>
        <v>ENG</v>
      </c>
      <c r="K59" s="1" t="s">
        <v>222</v>
      </c>
      <c r="L59" s="1" t="s">
        <v>402</v>
      </c>
      <c r="M59" s="1" t="s">
        <v>425</v>
      </c>
      <c r="N59" s="1" t="s">
        <v>471</v>
      </c>
      <c r="O59" s="1" t="s">
        <v>477</v>
      </c>
      <c r="P59" s="1" t="s">
        <v>457</v>
      </c>
      <c r="Q59" s="1"/>
      <c r="R59" s="1" t="s">
        <v>423</v>
      </c>
      <c r="S59" s="6" t="s">
        <v>1989</v>
      </c>
      <c r="T59" s="6" t="s">
        <v>1990</v>
      </c>
      <c r="U59" s="6" t="s">
        <v>1991</v>
      </c>
      <c r="V59" s="6" t="s">
        <v>1992</v>
      </c>
      <c r="W59" s="15" t="s">
        <v>543</v>
      </c>
      <c r="X59" s="6" t="s">
        <v>1993</v>
      </c>
      <c r="Y59" s="6" t="s">
        <v>542</v>
      </c>
      <c r="Z59" s="1">
        <v>4</v>
      </c>
      <c r="AA59" s="1">
        <v>3</v>
      </c>
      <c r="AB59" s="7" t="s">
        <v>610</v>
      </c>
      <c r="AC59" s="1" t="s">
        <v>647</v>
      </c>
      <c r="AD59" s="1" t="s">
        <v>573</v>
      </c>
      <c r="AE59" s="1" t="s">
        <v>225</v>
      </c>
      <c r="AF59" s="6"/>
      <c r="AG59" s="6" t="s">
        <v>703</v>
      </c>
      <c r="AH59" s="6" t="s">
        <v>704</v>
      </c>
      <c r="AI59" s="6"/>
      <c r="AJ59" s="20"/>
      <c r="AK59" s="23" cm="1">
        <f t="array" ref="AK59">_xlfn.IFS(AC59="Principles observation",1, AC59="Concept formulation",2, AC59="Proof-of-concept simulation", 3, AC59="Core function validation", 4, AC59="Integration component testing", 5, AC59="Component validation in relevant environment", 6, AC59="Subsystem demonstration in relevant environment", 7, AC59="System demonstration in operational environment", 8, AC59="Production qualification", 9, AC59="Mission-proven operations", 10)</f>
        <v>6</v>
      </c>
      <c r="AL59" s="23" cm="1">
        <f t="array" ref="AL59">_xlfn.IFS(AD59="Assistive GenAI", 1, AD59="GenAI-led with human oversight", 2, AD59="Autonomous process learning", 3)</f>
        <v>1</v>
      </c>
      <c r="AM59" s="20"/>
      <c r="AN59" s="20"/>
      <c r="AO59" s="20"/>
      <c r="AP59" s="20"/>
      <c r="AQ59" s="20"/>
      <c r="AR59" s="20"/>
      <c r="AS59" s="20"/>
      <c r="AT59" s="20"/>
      <c r="AU59" s="20"/>
      <c r="AV59" s="20"/>
      <c r="AW59" s="20"/>
      <c r="AX59" s="20"/>
      <c r="AY59" s="20"/>
      <c r="AZ59" s="20"/>
      <c r="BA59" s="20"/>
      <c r="BB59" s="20"/>
      <c r="BC59" s="20"/>
      <c r="BD59" s="20"/>
      <c r="BE59" s="20"/>
      <c r="BF59" s="20"/>
      <c r="BG59" s="20"/>
      <c r="BH59" s="20"/>
      <c r="BI59" s="20"/>
      <c r="BJ59" s="20"/>
      <c r="BK59" s="20"/>
      <c r="BL59" s="20"/>
      <c r="BM59" s="20"/>
      <c r="BN59" s="20"/>
      <c r="BO59" s="20"/>
      <c r="BP59" s="20"/>
      <c r="BQ59" s="20"/>
      <c r="BR59" s="20"/>
      <c r="BS59" s="20"/>
      <c r="BT59" s="20"/>
      <c r="BU59" s="20"/>
      <c r="BV59" s="20"/>
      <c r="BW59" s="20"/>
      <c r="BX59" s="20"/>
      <c r="BY59" s="20"/>
      <c r="BZ59" s="20"/>
      <c r="CA59" s="20"/>
      <c r="CB59" s="20"/>
      <c r="CC59" s="20"/>
      <c r="CD59" s="20"/>
      <c r="CE59" s="20"/>
      <c r="CF59" s="20"/>
      <c r="CG59" s="20"/>
      <c r="CH59" s="20"/>
      <c r="CI59" s="20"/>
      <c r="CJ59" s="20"/>
      <c r="CK59" s="20"/>
      <c r="CL59" s="20"/>
      <c r="CM59" s="20"/>
      <c r="CN59" s="20"/>
      <c r="CO59" s="20"/>
      <c r="CP59" s="20"/>
      <c r="CQ59" s="20"/>
      <c r="CR59" s="20"/>
      <c r="CS59" s="20"/>
      <c r="CT59" s="20"/>
      <c r="CU59" s="20"/>
      <c r="CV59" s="20"/>
      <c r="CW59" s="20"/>
      <c r="CX59" s="20"/>
      <c r="CY59" s="20"/>
      <c r="CZ59" s="20"/>
      <c r="DA59" s="20"/>
      <c r="DB59" s="20"/>
      <c r="DC59" s="20"/>
      <c r="DD59" s="20"/>
      <c r="DE59" s="20"/>
      <c r="DF59" s="20"/>
      <c r="DG59" s="20"/>
      <c r="DH59" s="20"/>
      <c r="DI59" s="20"/>
      <c r="DJ59" s="20"/>
      <c r="DK59" s="20"/>
      <c r="DL59" s="20"/>
      <c r="DM59" s="20"/>
      <c r="DN59" s="20"/>
      <c r="DO59" s="20"/>
      <c r="DP59" s="20"/>
      <c r="DQ59" s="20"/>
      <c r="DR59" s="20"/>
      <c r="DS59" s="20"/>
      <c r="DT59" s="20"/>
      <c r="DU59" s="20"/>
      <c r="DV59" s="20"/>
      <c r="DW59" s="20"/>
      <c r="DX59" s="20"/>
      <c r="DY59" s="20"/>
      <c r="DZ59" s="20"/>
      <c r="EA59" s="20"/>
      <c r="EB59" s="20"/>
      <c r="EC59" s="20"/>
      <c r="ED59" s="20"/>
      <c r="EE59" s="20"/>
      <c r="EF59" s="20"/>
      <c r="EG59" s="20"/>
      <c r="EH59" s="20"/>
      <c r="EI59" s="20"/>
      <c r="EJ59" s="20"/>
      <c r="EK59" s="20"/>
      <c r="EL59" s="20"/>
      <c r="EM59" s="20"/>
      <c r="EN59" s="20"/>
      <c r="EO59" s="20"/>
      <c r="EP59" s="20"/>
      <c r="EQ59" s="20"/>
      <c r="ER59" s="20"/>
      <c r="ES59" s="20"/>
      <c r="ET59" s="20"/>
      <c r="EU59" s="20"/>
      <c r="EV59" s="20"/>
      <c r="EW59" s="20"/>
      <c r="EX59" s="20"/>
      <c r="EY59" s="20"/>
      <c r="EZ59" s="20"/>
      <c r="FA59" s="20"/>
      <c r="FB59" s="20"/>
      <c r="FC59" s="20"/>
      <c r="FD59" s="20"/>
      <c r="FE59" s="20"/>
      <c r="FF59" s="20"/>
      <c r="FG59" s="20"/>
      <c r="FH59" s="20"/>
      <c r="FI59" s="20"/>
      <c r="FJ59" s="20"/>
      <c r="FK59" s="20"/>
      <c r="FL59" s="20"/>
      <c r="FM59" s="20"/>
      <c r="FN59" s="20"/>
      <c r="FO59" s="20"/>
      <c r="FP59" s="20"/>
      <c r="FQ59" s="20"/>
      <c r="FR59" s="20"/>
      <c r="FS59" s="20"/>
      <c r="FT59" s="20"/>
      <c r="FU59" s="20"/>
      <c r="FV59" s="20"/>
      <c r="FW59" s="20"/>
      <c r="FX59" s="20"/>
      <c r="FY59" s="20"/>
      <c r="FZ59" s="20"/>
      <c r="GA59" s="20"/>
      <c r="GB59" s="20"/>
      <c r="GC59" s="20"/>
      <c r="GD59" s="20"/>
      <c r="GE59" s="20"/>
      <c r="GF59" s="20"/>
      <c r="GG59" s="20"/>
      <c r="GH59" s="20"/>
      <c r="GI59" s="20"/>
      <c r="GJ59" s="20"/>
      <c r="GK59" s="20"/>
      <c r="GL59" s="20"/>
      <c r="GM59" s="20"/>
      <c r="GN59" s="20"/>
      <c r="GO59" s="20"/>
      <c r="GP59" s="20"/>
      <c r="GQ59" s="20"/>
      <c r="GR59" s="20"/>
      <c r="GS59" s="20"/>
      <c r="GT59" s="20"/>
      <c r="GU59" s="20"/>
      <c r="GV59" s="20"/>
      <c r="GW59" s="20"/>
      <c r="GX59" s="20"/>
      <c r="GY59" s="20"/>
      <c r="GZ59" s="20"/>
      <c r="HA59" s="20"/>
      <c r="HB59" s="20"/>
      <c r="HC59" s="20"/>
      <c r="HD59" s="20"/>
      <c r="HE59" s="20"/>
      <c r="HF59" s="20"/>
      <c r="HG59" s="20"/>
      <c r="HH59" s="20"/>
      <c r="HI59" s="20"/>
      <c r="HJ59" s="20"/>
      <c r="HK59" s="20"/>
      <c r="HL59" s="20"/>
      <c r="HM59" s="20"/>
    </row>
    <row r="60" spans="1:221" s="11" customFormat="1" ht="55.95" customHeight="1" x14ac:dyDescent="0.3">
      <c r="A60" s="1">
        <v>65</v>
      </c>
      <c r="B60" s="6" t="s">
        <v>7</v>
      </c>
      <c r="C60" s="10" t="s">
        <v>287</v>
      </c>
      <c r="D60" s="7">
        <v>2025</v>
      </c>
      <c r="E60" s="13" t="s">
        <v>57</v>
      </c>
      <c r="F60" s="7">
        <v>0</v>
      </c>
      <c r="G60" s="1" t="str">
        <f t="shared" si="3"/>
        <v>Jiang Z.</v>
      </c>
      <c r="H60" s="15" t="s">
        <v>176</v>
      </c>
      <c r="I60" s="15" t="s">
        <v>77</v>
      </c>
      <c r="J60" s="1" t="str">
        <f t="shared" si="4"/>
        <v>ENG</v>
      </c>
      <c r="K60" s="1" t="s">
        <v>222</v>
      </c>
      <c r="L60" s="1" t="s">
        <v>402</v>
      </c>
      <c r="M60" s="1" t="s">
        <v>425</v>
      </c>
      <c r="N60" s="1" t="s">
        <v>224</v>
      </c>
      <c r="O60" s="1" t="s">
        <v>385</v>
      </c>
      <c r="P60" s="1"/>
      <c r="Q60" s="1"/>
      <c r="R60" s="1" t="s">
        <v>386</v>
      </c>
      <c r="S60" s="6" t="s">
        <v>1994</v>
      </c>
      <c r="T60" s="6" t="s">
        <v>1995</v>
      </c>
      <c r="U60" s="6" t="s">
        <v>1996</v>
      </c>
      <c r="V60" s="6" t="s">
        <v>1997</v>
      </c>
      <c r="W60" s="15" t="s">
        <v>545</v>
      </c>
      <c r="X60" s="6" t="s">
        <v>1998</v>
      </c>
      <c r="Y60" s="6" t="s">
        <v>544</v>
      </c>
      <c r="Z60" s="1">
        <v>4</v>
      </c>
      <c r="AA60" s="1">
        <v>3</v>
      </c>
      <c r="AB60" s="1" t="s">
        <v>602</v>
      </c>
      <c r="AC60" s="1" t="s">
        <v>587</v>
      </c>
      <c r="AD60" s="1" t="s">
        <v>573</v>
      </c>
      <c r="AE60" s="1" t="s">
        <v>225</v>
      </c>
      <c r="AF60" s="6"/>
      <c r="AG60" s="6" t="s">
        <v>705</v>
      </c>
      <c r="AH60" s="6" t="s">
        <v>706</v>
      </c>
      <c r="AI60" s="6"/>
      <c r="AJ60" s="20"/>
      <c r="AK60" s="23" cm="1">
        <f t="array" ref="AK60">_xlfn.IFS(AC60="Principles observation",1, AC60="Concept formulation",2, AC60="Proof-of-concept simulation", 3, AC60="Core function validation", 4, AC60="Integration component testing", 5, AC60="Component validation in relevant environment", 6, AC60="Subsystem demonstration in relevant environment", 7, AC60="System demonstration in operational environment", 8, AC60="Production qualification", 9, AC60="Mission-proven operations", 10)</f>
        <v>3</v>
      </c>
      <c r="AL60" s="23" cm="1">
        <f t="array" ref="AL60">_xlfn.IFS(AD60="Assistive GenAI", 1, AD60="GenAI-led with human oversight", 2, AD60="Autonomous process learning", 3)</f>
        <v>1</v>
      </c>
      <c r="AM60" s="20"/>
      <c r="AN60" s="20"/>
      <c r="AO60" s="20"/>
      <c r="AP60" s="20"/>
      <c r="AQ60" s="20"/>
      <c r="AR60" s="20"/>
      <c r="AS60" s="20"/>
      <c r="AT60" s="20"/>
      <c r="AU60" s="20"/>
      <c r="AV60" s="20"/>
      <c r="AW60" s="20"/>
      <c r="AX60" s="20"/>
      <c r="AY60" s="20"/>
      <c r="AZ60" s="20"/>
      <c r="BA60" s="20"/>
      <c r="BB60" s="20"/>
      <c r="BC60" s="20"/>
      <c r="BD60" s="20"/>
      <c r="BE60" s="20"/>
      <c r="BF60" s="20"/>
      <c r="BG60" s="20"/>
      <c r="BH60" s="20"/>
      <c r="BI60" s="20"/>
      <c r="BJ60" s="20"/>
      <c r="BK60" s="20"/>
      <c r="BL60" s="20"/>
      <c r="BM60" s="20"/>
      <c r="BN60" s="20"/>
      <c r="BO60" s="20"/>
      <c r="BP60" s="20"/>
      <c r="BQ60" s="20"/>
      <c r="BR60" s="20"/>
      <c r="BS60" s="20"/>
      <c r="BT60" s="20"/>
      <c r="BU60" s="20"/>
      <c r="BV60" s="20"/>
      <c r="BW60" s="20"/>
      <c r="BX60" s="20"/>
      <c r="BY60" s="20"/>
      <c r="BZ60" s="20"/>
      <c r="CA60" s="20"/>
      <c r="CB60" s="20"/>
      <c r="CC60" s="20"/>
      <c r="CD60" s="20"/>
      <c r="CE60" s="20"/>
      <c r="CF60" s="20"/>
      <c r="CG60" s="20"/>
      <c r="CH60" s="20"/>
      <c r="CI60" s="20"/>
      <c r="CJ60" s="20"/>
      <c r="CK60" s="20"/>
      <c r="CL60" s="20"/>
      <c r="CM60" s="20"/>
      <c r="CN60" s="20"/>
      <c r="CO60" s="20"/>
      <c r="CP60" s="20"/>
      <c r="CQ60" s="20"/>
      <c r="CR60" s="20"/>
      <c r="CS60" s="20"/>
      <c r="CT60" s="20"/>
      <c r="CU60" s="20"/>
      <c r="CV60" s="20"/>
      <c r="CW60" s="20"/>
      <c r="CX60" s="20"/>
      <c r="CY60" s="20"/>
      <c r="CZ60" s="20"/>
      <c r="DA60" s="20"/>
      <c r="DB60" s="20"/>
      <c r="DC60" s="20"/>
      <c r="DD60" s="20"/>
      <c r="DE60" s="20"/>
      <c r="DF60" s="20"/>
      <c r="DG60" s="20"/>
      <c r="DH60" s="20"/>
      <c r="DI60" s="20"/>
      <c r="DJ60" s="20"/>
      <c r="DK60" s="20"/>
      <c r="DL60" s="20"/>
      <c r="DM60" s="20"/>
      <c r="DN60" s="20"/>
      <c r="DO60" s="20"/>
      <c r="DP60" s="20"/>
      <c r="DQ60" s="20"/>
      <c r="DR60" s="20"/>
      <c r="DS60" s="20"/>
      <c r="DT60" s="20"/>
      <c r="DU60" s="20"/>
      <c r="DV60" s="20"/>
      <c r="DW60" s="20"/>
      <c r="DX60" s="20"/>
      <c r="DY60" s="20"/>
      <c r="DZ60" s="20"/>
      <c r="EA60" s="20"/>
      <c r="EB60" s="20"/>
      <c r="EC60" s="20"/>
      <c r="ED60" s="20"/>
      <c r="EE60" s="20"/>
      <c r="EF60" s="20"/>
      <c r="EG60" s="20"/>
      <c r="EH60" s="20"/>
      <c r="EI60" s="20"/>
      <c r="EJ60" s="20"/>
      <c r="EK60" s="20"/>
      <c r="EL60" s="20"/>
      <c r="EM60" s="20"/>
      <c r="EN60" s="20"/>
      <c r="EO60" s="20"/>
      <c r="EP60" s="20"/>
      <c r="EQ60" s="20"/>
      <c r="ER60" s="20"/>
      <c r="ES60" s="20"/>
      <c r="ET60" s="20"/>
      <c r="EU60" s="20"/>
      <c r="EV60" s="20"/>
      <c r="EW60" s="20"/>
      <c r="EX60" s="20"/>
      <c r="EY60" s="20"/>
      <c r="EZ60" s="20"/>
      <c r="FA60" s="20"/>
      <c r="FB60" s="20"/>
      <c r="FC60" s="20"/>
      <c r="FD60" s="20"/>
      <c r="FE60" s="20"/>
      <c r="FF60" s="20"/>
      <c r="FG60" s="20"/>
      <c r="FH60" s="20"/>
      <c r="FI60" s="20"/>
      <c r="FJ60" s="20"/>
      <c r="FK60" s="20"/>
      <c r="FL60" s="20"/>
      <c r="FM60" s="20"/>
      <c r="FN60" s="20"/>
      <c r="FO60" s="20"/>
      <c r="FP60" s="20"/>
      <c r="FQ60" s="20"/>
      <c r="FR60" s="20"/>
      <c r="FS60" s="20"/>
      <c r="FT60" s="20"/>
      <c r="FU60" s="20"/>
      <c r="FV60" s="20"/>
      <c r="FW60" s="20"/>
      <c r="FX60" s="20"/>
      <c r="FY60" s="20"/>
      <c r="FZ60" s="20"/>
      <c r="GA60" s="20"/>
      <c r="GB60" s="20"/>
      <c r="GC60" s="20"/>
      <c r="GD60" s="20"/>
      <c r="GE60" s="20"/>
      <c r="GF60" s="20"/>
      <c r="GG60" s="20"/>
      <c r="GH60" s="20"/>
      <c r="GI60" s="20"/>
      <c r="GJ60" s="20"/>
      <c r="GK60" s="20"/>
      <c r="GL60" s="20"/>
      <c r="GM60" s="20"/>
      <c r="GN60" s="20"/>
      <c r="GO60" s="20"/>
      <c r="GP60" s="20"/>
      <c r="GQ60" s="20"/>
      <c r="GR60" s="20"/>
      <c r="GS60" s="20"/>
      <c r="GT60" s="20"/>
      <c r="GU60" s="20"/>
      <c r="GV60" s="20"/>
      <c r="GW60" s="20"/>
      <c r="GX60" s="20"/>
      <c r="GY60" s="20"/>
      <c r="GZ60" s="20"/>
      <c r="HA60" s="20"/>
      <c r="HB60" s="20"/>
      <c r="HC60" s="20"/>
      <c r="HD60" s="20"/>
      <c r="HE60" s="20"/>
      <c r="HF60" s="20"/>
      <c r="HG60" s="20"/>
      <c r="HH60" s="20"/>
      <c r="HI60" s="20"/>
      <c r="HJ60" s="20"/>
      <c r="HK60" s="20"/>
      <c r="HL60" s="20"/>
      <c r="HM60" s="20"/>
    </row>
    <row r="61" spans="1:221" s="11" customFormat="1" ht="55.95" customHeight="1" x14ac:dyDescent="0.3">
      <c r="A61" s="1">
        <v>66</v>
      </c>
      <c r="B61" s="6" t="s">
        <v>72</v>
      </c>
      <c r="C61" s="10" t="s">
        <v>288</v>
      </c>
      <c r="D61" s="7">
        <v>2025</v>
      </c>
      <c r="E61" s="13" t="s">
        <v>57</v>
      </c>
      <c r="F61" s="7">
        <v>0</v>
      </c>
      <c r="G61" s="1" t="str">
        <f t="shared" si="3"/>
        <v>Simeone A.</v>
      </c>
      <c r="H61" s="15" t="s">
        <v>131</v>
      </c>
      <c r="I61" s="15" t="s">
        <v>75</v>
      </c>
      <c r="J61" s="1" t="str">
        <f t="shared" si="4"/>
        <v>ENG</v>
      </c>
      <c r="K61" s="1" t="s">
        <v>222</v>
      </c>
      <c r="L61" s="1" t="s">
        <v>402</v>
      </c>
      <c r="M61" s="1" t="s">
        <v>217</v>
      </c>
      <c r="N61" s="1" t="s">
        <v>383</v>
      </c>
      <c r="O61" s="1" t="s">
        <v>477</v>
      </c>
      <c r="P61" s="1" t="s">
        <v>457</v>
      </c>
      <c r="Q61" s="1" t="s">
        <v>546</v>
      </c>
      <c r="R61" s="1" t="s">
        <v>386</v>
      </c>
      <c r="S61" s="6" t="s">
        <v>1999</v>
      </c>
      <c r="T61" s="6" t="s">
        <v>2000</v>
      </c>
      <c r="U61" s="6" t="s">
        <v>2001</v>
      </c>
      <c r="V61" s="6" t="s">
        <v>2002</v>
      </c>
      <c r="W61" s="15" t="s">
        <v>547</v>
      </c>
      <c r="X61" s="6" t="s">
        <v>2003</v>
      </c>
      <c r="Y61" s="6"/>
      <c r="Z61" s="1">
        <v>4</v>
      </c>
      <c r="AA61" s="1">
        <v>3</v>
      </c>
      <c r="AB61" s="7" t="s">
        <v>566</v>
      </c>
      <c r="AC61" s="1" t="s">
        <v>590</v>
      </c>
      <c r="AD61" s="1" t="s">
        <v>574</v>
      </c>
      <c r="AE61" s="1" t="s">
        <v>225</v>
      </c>
      <c r="AG61" s="6" t="s">
        <v>714</v>
      </c>
      <c r="AH61" s="6" t="s">
        <v>715</v>
      </c>
      <c r="AI61" s="6"/>
      <c r="AJ61" s="20"/>
      <c r="AK61" s="23" cm="1">
        <f t="array" ref="AK61">_xlfn.IFS(AC61="Principles observation",1, AC61="Concept formulation",2, AC61="Proof-of-concept simulation", 3, AC61="Core function validation", 4, AC61="Integration component testing", 5, AC61="Component validation in relevant environment", 6, AC61="Subsystem demonstration in relevant environment", 7, AC61="System demonstration in operational environment", 8, AC61="Production qualification", 9, AC61="Mission-proven operations", 10)</f>
        <v>5</v>
      </c>
      <c r="AL61" s="23" cm="1">
        <f t="array" ref="AL61">_xlfn.IFS(AD61="Assistive GenAI", 1, AD61="GenAI-led with human oversight", 2, AD61="Autonomous process learning", 3)</f>
        <v>2</v>
      </c>
      <c r="AM61" s="20"/>
      <c r="AN61" s="20"/>
      <c r="AO61" s="20"/>
      <c r="AP61" s="20"/>
      <c r="AQ61" s="20"/>
      <c r="AR61" s="20"/>
      <c r="AS61" s="20"/>
      <c r="AT61" s="20"/>
      <c r="AU61" s="20"/>
      <c r="AV61" s="20"/>
      <c r="AW61" s="20"/>
      <c r="AX61" s="20"/>
      <c r="AY61" s="20"/>
      <c r="AZ61" s="20"/>
      <c r="BA61" s="20"/>
      <c r="BB61" s="20"/>
      <c r="BC61" s="20"/>
      <c r="BD61" s="20"/>
      <c r="BE61" s="20"/>
      <c r="BF61" s="20"/>
      <c r="BG61" s="20"/>
      <c r="BH61" s="20"/>
      <c r="BI61" s="20"/>
      <c r="BJ61" s="20"/>
      <c r="BK61" s="20"/>
      <c r="BL61" s="20"/>
      <c r="BM61" s="20"/>
      <c r="BN61" s="20"/>
      <c r="BO61" s="20"/>
      <c r="BP61" s="20"/>
      <c r="BQ61" s="20"/>
      <c r="BR61" s="20"/>
      <c r="BS61" s="20"/>
      <c r="BT61" s="20"/>
      <c r="BU61" s="20"/>
      <c r="BV61" s="20"/>
      <c r="BW61" s="20"/>
      <c r="BX61" s="20"/>
      <c r="BY61" s="20"/>
      <c r="BZ61" s="20"/>
      <c r="CA61" s="20"/>
      <c r="CB61" s="20"/>
      <c r="CC61" s="20"/>
      <c r="CD61" s="20"/>
      <c r="CE61" s="20"/>
      <c r="CF61" s="20"/>
      <c r="CG61" s="20"/>
      <c r="CH61" s="20"/>
      <c r="CI61" s="20"/>
      <c r="CJ61" s="20"/>
      <c r="CK61" s="20"/>
      <c r="CL61" s="20"/>
      <c r="CM61" s="20"/>
      <c r="CN61" s="20"/>
      <c r="CO61" s="20"/>
      <c r="CP61" s="20"/>
      <c r="CQ61" s="20"/>
      <c r="CR61" s="20"/>
      <c r="CS61" s="20"/>
      <c r="CT61" s="20"/>
      <c r="CU61" s="20"/>
      <c r="CV61" s="20"/>
      <c r="CW61" s="20"/>
      <c r="CX61" s="20"/>
      <c r="CY61" s="20"/>
      <c r="CZ61" s="20"/>
      <c r="DA61" s="20"/>
      <c r="DB61" s="20"/>
      <c r="DC61" s="20"/>
      <c r="DD61" s="20"/>
      <c r="DE61" s="20"/>
      <c r="DF61" s="20"/>
      <c r="DG61" s="20"/>
      <c r="DH61" s="20"/>
      <c r="DI61" s="20"/>
      <c r="DJ61" s="20"/>
      <c r="DK61" s="20"/>
      <c r="DL61" s="20"/>
      <c r="DM61" s="20"/>
      <c r="DN61" s="20"/>
      <c r="DO61" s="20"/>
      <c r="DP61" s="20"/>
      <c r="DQ61" s="20"/>
      <c r="DR61" s="20"/>
      <c r="DS61" s="20"/>
      <c r="DT61" s="20"/>
      <c r="DU61" s="20"/>
      <c r="DV61" s="20"/>
      <c r="DW61" s="20"/>
      <c r="DX61" s="20"/>
      <c r="DY61" s="20"/>
      <c r="DZ61" s="20"/>
      <c r="EA61" s="20"/>
      <c r="EB61" s="20"/>
      <c r="EC61" s="20"/>
      <c r="ED61" s="20"/>
      <c r="EE61" s="20"/>
      <c r="EF61" s="20"/>
      <c r="EG61" s="20"/>
      <c r="EH61" s="20"/>
      <c r="EI61" s="20"/>
      <c r="EJ61" s="20"/>
      <c r="EK61" s="20"/>
      <c r="EL61" s="20"/>
      <c r="EM61" s="20"/>
      <c r="EN61" s="20"/>
      <c r="EO61" s="20"/>
      <c r="EP61" s="20"/>
      <c r="EQ61" s="20"/>
      <c r="ER61" s="20"/>
      <c r="ES61" s="20"/>
      <c r="ET61" s="20"/>
      <c r="EU61" s="20"/>
      <c r="EV61" s="20"/>
      <c r="EW61" s="20"/>
      <c r="EX61" s="20"/>
      <c r="EY61" s="20"/>
      <c r="EZ61" s="20"/>
      <c r="FA61" s="20"/>
      <c r="FB61" s="20"/>
      <c r="FC61" s="20"/>
      <c r="FD61" s="20"/>
      <c r="FE61" s="20"/>
      <c r="FF61" s="20"/>
      <c r="FG61" s="20"/>
      <c r="FH61" s="20"/>
      <c r="FI61" s="20"/>
      <c r="FJ61" s="20"/>
      <c r="FK61" s="20"/>
      <c r="FL61" s="20"/>
      <c r="FM61" s="20"/>
      <c r="FN61" s="20"/>
      <c r="FO61" s="20"/>
      <c r="FP61" s="20"/>
      <c r="FQ61" s="20"/>
      <c r="FR61" s="20"/>
      <c r="FS61" s="20"/>
      <c r="FT61" s="20"/>
      <c r="FU61" s="20"/>
      <c r="FV61" s="20"/>
      <c r="FW61" s="20"/>
      <c r="FX61" s="20"/>
      <c r="FY61" s="20"/>
      <c r="FZ61" s="20"/>
      <c r="GA61" s="20"/>
      <c r="GB61" s="20"/>
      <c r="GC61" s="20"/>
      <c r="GD61" s="20"/>
      <c r="GE61" s="20"/>
      <c r="GF61" s="20"/>
      <c r="GG61" s="20"/>
      <c r="GH61" s="20"/>
      <c r="GI61" s="20"/>
      <c r="GJ61" s="20"/>
      <c r="GK61" s="20"/>
      <c r="GL61" s="20"/>
      <c r="GM61" s="20"/>
      <c r="GN61" s="20"/>
      <c r="GO61" s="20"/>
      <c r="GP61" s="20"/>
      <c r="GQ61" s="20"/>
      <c r="GR61" s="20"/>
      <c r="GS61" s="20"/>
      <c r="GT61" s="20"/>
      <c r="GU61" s="20"/>
      <c r="GV61" s="20"/>
      <c r="GW61" s="20"/>
      <c r="GX61" s="20"/>
      <c r="GY61" s="20"/>
      <c r="GZ61" s="20"/>
      <c r="HA61" s="20"/>
      <c r="HB61" s="20"/>
      <c r="HC61" s="20"/>
      <c r="HD61" s="20"/>
      <c r="HE61" s="20"/>
      <c r="HF61" s="20"/>
      <c r="HG61" s="20"/>
      <c r="HH61" s="20"/>
      <c r="HI61" s="20"/>
      <c r="HJ61" s="20"/>
      <c r="HK61" s="20"/>
      <c r="HL61" s="20"/>
      <c r="HM61" s="20"/>
    </row>
    <row r="62" spans="1:221" s="11" customFormat="1" ht="55.95" customHeight="1" x14ac:dyDescent="0.3">
      <c r="A62" s="1">
        <v>67</v>
      </c>
      <c r="B62" s="6" t="s">
        <v>21</v>
      </c>
      <c r="C62" s="10" t="s">
        <v>276</v>
      </c>
      <c r="D62" s="7">
        <v>2025</v>
      </c>
      <c r="E62" s="13" t="s">
        <v>317</v>
      </c>
      <c r="F62" s="7">
        <v>0</v>
      </c>
      <c r="G62" s="1" t="str">
        <f t="shared" si="3"/>
        <v>Wu T.</v>
      </c>
      <c r="H62" s="15" t="s">
        <v>177</v>
      </c>
      <c r="I62" s="15" t="s">
        <v>91</v>
      </c>
      <c r="J62" s="1" t="str">
        <f t="shared" si="4"/>
        <v>ENG</v>
      </c>
      <c r="K62" s="1" t="s">
        <v>222</v>
      </c>
      <c r="L62" s="1" t="s">
        <v>402</v>
      </c>
      <c r="M62" s="1" t="s">
        <v>425</v>
      </c>
      <c r="N62" s="1" t="s">
        <v>471</v>
      </c>
      <c r="O62" s="1" t="s">
        <v>540</v>
      </c>
      <c r="P62" s="1" t="s">
        <v>422</v>
      </c>
      <c r="Q62" s="1"/>
      <c r="R62" s="1" t="s">
        <v>489</v>
      </c>
      <c r="S62" s="6" t="s">
        <v>2004</v>
      </c>
      <c r="T62" s="6" t="s">
        <v>2005</v>
      </c>
      <c r="U62" s="6" t="s">
        <v>2006</v>
      </c>
      <c r="V62" s="6" t="s">
        <v>2007</v>
      </c>
      <c r="W62" s="15" t="s">
        <v>548</v>
      </c>
      <c r="X62" s="6" t="s">
        <v>2008</v>
      </c>
      <c r="Y62" s="6"/>
      <c r="Z62" s="1">
        <v>4</v>
      </c>
      <c r="AA62" s="1">
        <v>3</v>
      </c>
      <c r="AB62" s="7" t="s">
        <v>566</v>
      </c>
      <c r="AC62" s="1" t="s">
        <v>578</v>
      </c>
      <c r="AD62" s="1" t="s">
        <v>574</v>
      </c>
      <c r="AE62" s="1" t="s">
        <v>225</v>
      </c>
      <c r="AF62" s="6"/>
      <c r="AG62" s="6" t="s">
        <v>707</v>
      </c>
      <c r="AH62" s="6" t="s">
        <v>708</v>
      </c>
      <c r="AI62" s="6"/>
      <c r="AJ62" s="20"/>
      <c r="AK62" s="23" cm="1">
        <f t="array" ref="AK62">_xlfn.IFS(AC62="Principles observation",1, AC62="Concept formulation",2, AC62="Proof-of-concept simulation", 3, AC62="Core function validation", 4, AC62="Integration component testing", 5, AC62="Component validation in relevant environment", 6, AC62="Subsystem demonstration in relevant environment", 7, AC62="System demonstration in operational environment", 8, AC62="Production qualification", 9, AC62="Mission-proven operations", 10)</f>
        <v>4</v>
      </c>
      <c r="AL62" s="23" cm="1">
        <f t="array" ref="AL62">_xlfn.IFS(AD62="Assistive GenAI", 1, AD62="GenAI-led with human oversight", 2, AD62="Autonomous process learning", 3)</f>
        <v>2</v>
      </c>
      <c r="AM62" s="20"/>
      <c r="AN62" s="20"/>
      <c r="AO62" s="20"/>
      <c r="AP62" s="20"/>
      <c r="AQ62" s="20"/>
      <c r="AR62" s="20"/>
      <c r="AS62" s="20"/>
      <c r="AT62" s="20"/>
      <c r="AU62" s="20"/>
      <c r="AV62" s="20"/>
      <c r="AW62" s="20"/>
      <c r="AX62" s="20"/>
      <c r="AY62" s="20"/>
      <c r="AZ62" s="20"/>
      <c r="BA62" s="20"/>
      <c r="BB62" s="20"/>
      <c r="BC62" s="20"/>
      <c r="BD62" s="20"/>
      <c r="BE62" s="20"/>
      <c r="BF62" s="20"/>
      <c r="BG62" s="20"/>
      <c r="BH62" s="20"/>
      <c r="BI62" s="20"/>
      <c r="BJ62" s="20"/>
      <c r="BK62" s="20"/>
      <c r="BL62" s="20"/>
      <c r="BM62" s="20"/>
      <c r="BN62" s="20"/>
      <c r="BO62" s="20"/>
      <c r="BP62" s="20"/>
      <c r="BQ62" s="20"/>
      <c r="BR62" s="20"/>
      <c r="BS62" s="20"/>
      <c r="BT62" s="20"/>
      <c r="BU62" s="20"/>
      <c r="BV62" s="20"/>
      <c r="BW62" s="20"/>
      <c r="BX62" s="20"/>
      <c r="BY62" s="20"/>
      <c r="BZ62" s="20"/>
      <c r="CA62" s="20"/>
      <c r="CB62" s="20"/>
      <c r="CC62" s="20"/>
      <c r="CD62" s="20"/>
      <c r="CE62" s="20"/>
      <c r="CF62" s="20"/>
      <c r="CG62" s="20"/>
      <c r="CH62" s="20"/>
      <c r="CI62" s="20"/>
      <c r="CJ62" s="20"/>
      <c r="CK62" s="20"/>
      <c r="CL62" s="20"/>
      <c r="CM62" s="20"/>
      <c r="CN62" s="20"/>
      <c r="CO62" s="20"/>
      <c r="CP62" s="20"/>
      <c r="CQ62" s="20"/>
      <c r="CR62" s="20"/>
      <c r="CS62" s="20"/>
      <c r="CT62" s="20"/>
      <c r="CU62" s="20"/>
      <c r="CV62" s="20"/>
      <c r="CW62" s="20"/>
      <c r="CX62" s="20"/>
      <c r="CY62" s="20"/>
      <c r="CZ62" s="20"/>
      <c r="DA62" s="20"/>
      <c r="DB62" s="20"/>
      <c r="DC62" s="20"/>
      <c r="DD62" s="20"/>
      <c r="DE62" s="20"/>
      <c r="DF62" s="20"/>
      <c r="DG62" s="20"/>
      <c r="DH62" s="20"/>
      <c r="DI62" s="20"/>
      <c r="DJ62" s="20"/>
      <c r="DK62" s="20"/>
      <c r="DL62" s="20"/>
      <c r="DM62" s="20"/>
      <c r="DN62" s="20"/>
      <c r="DO62" s="20"/>
      <c r="DP62" s="20"/>
      <c r="DQ62" s="20"/>
      <c r="DR62" s="20"/>
      <c r="DS62" s="20"/>
      <c r="DT62" s="20"/>
      <c r="DU62" s="20"/>
      <c r="DV62" s="20"/>
      <c r="DW62" s="20"/>
      <c r="DX62" s="20"/>
      <c r="DY62" s="20"/>
      <c r="DZ62" s="20"/>
      <c r="EA62" s="20"/>
      <c r="EB62" s="20"/>
      <c r="EC62" s="20"/>
      <c r="ED62" s="20"/>
      <c r="EE62" s="20"/>
      <c r="EF62" s="20"/>
      <c r="EG62" s="20"/>
      <c r="EH62" s="20"/>
      <c r="EI62" s="20"/>
      <c r="EJ62" s="20"/>
      <c r="EK62" s="20"/>
      <c r="EL62" s="20"/>
      <c r="EM62" s="20"/>
      <c r="EN62" s="20"/>
      <c r="EO62" s="20"/>
      <c r="EP62" s="20"/>
      <c r="EQ62" s="20"/>
      <c r="ER62" s="20"/>
      <c r="ES62" s="20"/>
      <c r="ET62" s="20"/>
      <c r="EU62" s="20"/>
      <c r="EV62" s="20"/>
      <c r="EW62" s="20"/>
      <c r="EX62" s="20"/>
      <c r="EY62" s="20"/>
      <c r="EZ62" s="20"/>
      <c r="FA62" s="20"/>
      <c r="FB62" s="20"/>
      <c r="FC62" s="20"/>
      <c r="FD62" s="20"/>
      <c r="FE62" s="20"/>
      <c r="FF62" s="20"/>
      <c r="FG62" s="20"/>
      <c r="FH62" s="20"/>
      <c r="FI62" s="20"/>
      <c r="FJ62" s="20"/>
      <c r="FK62" s="20"/>
      <c r="FL62" s="20"/>
      <c r="FM62" s="20"/>
      <c r="FN62" s="20"/>
      <c r="FO62" s="20"/>
      <c r="FP62" s="20"/>
      <c r="FQ62" s="20"/>
      <c r="FR62" s="20"/>
      <c r="FS62" s="20"/>
      <c r="FT62" s="20"/>
      <c r="FU62" s="20"/>
      <c r="FV62" s="20"/>
      <c r="FW62" s="20"/>
      <c r="FX62" s="20"/>
      <c r="FY62" s="20"/>
      <c r="FZ62" s="20"/>
      <c r="GA62" s="20"/>
      <c r="GB62" s="20"/>
      <c r="GC62" s="20"/>
      <c r="GD62" s="20"/>
      <c r="GE62" s="20"/>
      <c r="GF62" s="20"/>
      <c r="GG62" s="20"/>
      <c r="GH62" s="20"/>
      <c r="GI62" s="20"/>
      <c r="GJ62" s="20"/>
      <c r="GK62" s="20"/>
      <c r="GL62" s="20"/>
      <c r="GM62" s="20"/>
      <c r="GN62" s="20"/>
      <c r="GO62" s="20"/>
      <c r="GP62" s="20"/>
      <c r="GQ62" s="20"/>
      <c r="GR62" s="20"/>
      <c r="GS62" s="20"/>
      <c r="GT62" s="20"/>
      <c r="GU62" s="20"/>
      <c r="GV62" s="20"/>
      <c r="GW62" s="20"/>
      <c r="GX62" s="20"/>
      <c r="GY62" s="20"/>
      <c r="GZ62" s="20"/>
      <c r="HA62" s="20"/>
      <c r="HB62" s="20"/>
      <c r="HC62" s="20"/>
      <c r="HD62" s="20"/>
      <c r="HE62" s="20"/>
      <c r="HF62" s="20"/>
      <c r="HG62" s="20"/>
      <c r="HH62" s="20"/>
      <c r="HI62" s="20"/>
      <c r="HJ62" s="20"/>
      <c r="HK62" s="20"/>
      <c r="HL62" s="20"/>
      <c r="HM62" s="20"/>
    </row>
    <row r="63" spans="1:221" s="11" customFormat="1" ht="55.95" customHeight="1" x14ac:dyDescent="0.3">
      <c r="A63" s="1">
        <v>68</v>
      </c>
      <c r="B63" s="6" t="s">
        <v>18</v>
      </c>
      <c r="C63" s="10" t="s">
        <v>294</v>
      </c>
      <c r="D63" s="7">
        <v>2025</v>
      </c>
      <c r="E63" s="13" t="s">
        <v>60</v>
      </c>
      <c r="F63" s="7">
        <v>0</v>
      </c>
      <c r="G63" s="1" t="str">
        <f t="shared" si="3"/>
        <v>Zhuang W.</v>
      </c>
      <c r="H63" s="15" t="s">
        <v>177</v>
      </c>
      <c r="I63" s="15" t="s">
        <v>88</v>
      </c>
      <c r="J63" s="1" t="s">
        <v>228</v>
      </c>
      <c r="K63" s="1" t="s">
        <v>222</v>
      </c>
      <c r="L63" s="1" t="s">
        <v>402</v>
      </c>
      <c r="M63" s="1" t="s">
        <v>425</v>
      </c>
      <c r="N63" s="1" t="s">
        <v>224</v>
      </c>
      <c r="O63" s="1" t="s">
        <v>385</v>
      </c>
      <c r="P63" s="1" t="s">
        <v>549</v>
      </c>
      <c r="Q63" s="1"/>
      <c r="R63" s="1" t="s">
        <v>551</v>
      </c>
      <c r="S63" s="6" t="s">
        <v>2009</v>
      </c>
      <c r="T63" s="6" t="s">
        <v>2010</v>
      </c>
      <c r="U63" s="6" t="s">
        <v>2011</v>
      </c>
      <c r="V63" s="6" t="s">
        <v>2012</v>
      </c>
      <c r="W63" s="15" t="s">
        <v>550</v>
      </c>
      <c r="X63" s="6" t="s">
        <v>2013</v>
      </c>
      <c r="Y63" s="6"/>
      <c r="Z63" s="1">
        <v>4</v>
      </c>
      <c r="AA63" s="1">
        <v>4</v>
      </c>
      <c r="AB63" s="7" t="s">
        <v>566</v>
      </c>
      <c r="AC63" s="1" t="s">
        <v>578</v>
      </c>
      <c r="AD63" s="1" t="s">
        <v>574</v>
      </c>
      <c r="AE63" s="1" t="s">
        <v>225</v>
      </c>
      <c r="AF63" s="6"/>
      <c r="AG63" s="6" t="s">
        <v>709</v>
      </c>
      <c r="AH63" s="6" t="s">
        <v>710</v>
      </c>
      <c r="AI63" s="6"/>
      <c r="AJ63" s="20"/>
      <c r="AK63" s="23" cm="1">
        <f t="array" ref="AK63">_xlfn.IFS(AC63="Principles observation",1, AC63="Concept formulation",2, AC63="Proof-of-concept simulation", 3, AC63="Core function validation", 4, AC63="Integration component testing", 5, AC63="Component validation in relevant environment", 6, AC63="Subsystem demonstration in relevant environment", 7, AC63="System demonstration in operational environment", 8, AC63="Production qualification", 9, AC63="Mission-proven operations", 10)</f>
        <v>4</v>
      </c>
      <c r="AL63" s="23" cm="1">
        <f t="array" ref="AL63">_xlfn.IFS(AD63="Assistive GenAI", 1, AD63="GenAI-led with human oversight", 2, AD63="Autonomous process learning", 3)</f>
        <v>2</v>
      </c>
      <c r="AM63" s="20"/>
      <c r="AN63" s="20"/>
      <c r="AO63" s="20"/>
      <c r="AP63" s="20"/>
      <c r="AQ63" s="20"/>
      <c r="AR63" s="20"/>
      <c r="AS63" s="20"/>
      <c r="AT63" s="20"/>
      <c r="AU63" s="20"/>
      <c r="AV63" s="20"/>
      <c r="AW63" s="20"/>
      <c r="AX63" s="20"/>
      <c r="AY63" s="20"/>
      <c r="AZ63" s="20"/>
      <c r="BA63" s="20"/>
      <c r="BB63" s="20"/>
      <c r="BC63" s="20"/>
      <c r="BD63" s="20"/>
      <c r="BE63" s="20"/>
      <c r="BF63" s="20"/>
      <c r="BG63" s="20"/>
      <c r="BH63" s="20"/>
      <c r="BI63" s="20"/>
      <c r="BJ63" s="20"/>
      <c r="BK63" s="20"/>
      <c r="BL63" s="20"/>
      <c r="BM63" s="20"/>
      <c r="BN63" s="20"/>
      <c r="BO63" s="20"/>
      <c r="BP63" s="20"/>
      <c r="BQ63" s="20"/>
      <c r="BR63" s="20"/>
      <c r="BS63" s="20"/>
      <c r="BT63" s="20"/>
      <c r="BU63" s="20"/>
      <c r="BV63" s="20"/>
      <c r="BW63" s="20"/>
      <c r="BX63" s="20"/>
      <c r="BY63" s="20"/>
      <c r="BZ63" s="20"/>
      <c r="CA63" s="20"/>
      <c r="CB63" s="20"/>
      <c r="CC63" s="20"/>
      <c r="CD63" s="20"/>
      <c r="CE63" s="20"/>
      <c r="CF63" s="20"/>
      <c r="CG63" s="20"/>
      <c r="CH63" s="20"/>
      <c r="CI63" s="20"/>
      <c r="CJ63" s="20"/>
      <c r="CK63" s="20"/>
      <c r="CL63" s="20"/>
      <c r="CM63" s="20"/>
      <c r="CN63" s="20"/>
      <c r="CO63" s="20"/>
      <c r="CP63" s="20"/>
      <c r="CQ63" s="20"/>
      <c r="CR63" s="20"/>
      <c r="CS63" s="20"/>
      <c r="CT63" s="20"/>
      <c r="CU63" s="20"/>
      <c r="CV63" s="20"/>
      <c r="CW63" s="20"/>
      <c r="CX63" s="20"/>
      <c r="CY63" s="20"/>
      <c r="CZ63" s="20"/>
      <c r="DA63" s="20"/>
      <c r="DB63" s="20"/>
      <c r="DC63" s="20"/>
      <c r="DD63" s="20"/>
      <c r="DE63" s="20"/>
      <c r="DF63" s="20"/>
      <c r="DG63" s="20"/>
      <c r="DH63" s="20"/>
      <c r="DI63" s="20"/>
      <c r="DJ63" s="20"/>
      <c r="DK63" s="20"/>
      <c r="DL63" s="20"/>
      <c r="DM63" s="20"/>
      <c r="DN63" s="20"/>
      <c r="DO63" s="20"/>
      <c r="DP63" s="20"/>
      <c r="DQ63" s="20"/>
      <c r="DR63" s="20"/>
      <c r="DS63" s="20"/>
      <c r="DT63" s="20"/>
      <c r="DU63" s="20"/>
      <c r="DV63" s="20"/>
      <c r="DW63" s="20"/>
      <c r="DX63" s="20"/>
      <c r="DY63" s="20"/>
      <c r="DZ63" s="20"/>
      <c r="EA63" s="20"/>
      <c r="EB63" s="20"/>
      <c r="EC63" s="20"/>
      <c r="ED63" s="20"/>
      <c r="EE63" s="20"/>
      <c r="EF63" s="20"/>
      <c r="EG63" s="20"/>
      <c r="EH63" s="20"/>
      <c r="EI63" s="20"/>
      <c r="EJ63" s="20"/>
      <c r="EK63" s="20"/>
      <c r="EL63" s="20"/>
      <c r="EM63" s="20"/>
      <c r="EN63" s="20"/>
      <c r="EO63" s="20"/>
      <c r="EP63" s="20"/>
      <c r="EQ63" s="20"/>
      <c r="ER63" s="20"/>
      <c r="ES63" s="20"/>
      <c r="ET63" s="20"/>
      <c r="EU63" s="20"/>
      <c r="EV63" s="20"/>
      <c r="EW63" s="20"/>
      <c r="EX63" s="20"/>
      <c r="EY63" s="20"/>
      <c r="EZ63" s="20"/>
      <c r="FA63" s="20"/>
      <c r="FB63" s="20"/>
      <c r="FC63" s="20"/>
      <c r="FD63" s="20"/>
      <c r="FE63" s="20"/>
      <c r="FF63" s="20"/>
      <c r="FG63" s="20"/>
      <c r="FH63" s="20"/>
      <c r="FI63" s="20"/>
      <c r="FJ63" s="20"/>
      <c r="FK63" s="20"/>
      <c r="FL63" s="20"/>
      <c r="FM63" s="20"/>
      <c r="FN63" s="20"/>
      <c r="FO63" s="20"/>
      <c r="FP63" s="20"/>
      <c r="FQ63" s="20"/>
      <c r="FR63" s="20"/>
      <c r="FS63" s="20"/>
      <c r="FT63" s="20"/>
      <c r="FU63" s="20"/>
      <c r="FV63" s="20"/>
      <c r="FW63" s="20"/>
      <c r="FX63" s="20"/>
      <c r="FY63" s="20"/>
      <c r="FZ63" s="20"/>
      <c r="GA63" s="20"/>
      <c r="GB63" s="20"/>
      <c r="GC63" s="20"/>
      <c r="GD63" s="20"/>
      <c r="GE63" s="20"/>
      <c r="GF63" s="20"/>
      <c r="GG63" s="20"/>
      <c r="GH63" s="20"/>
      <c r="GI63" s="20"/>
      <c r="GJ63" s="20"/>
      <c r="GK63" s="20"/>
      <c r="GL63" s="20"/>
      <c r="GM63" s="20"/>
      <c r="GN63" s="20"/>
      <c r="GO63" s="20"/>
      <c r="GP63" s="20"/>
      <c r="GQ63" s="20"/>
      <c r="GR63" s="20"/>
      <c r="GS63" s="20"/>
      <c r="GT63" s="20"/>
      <c r="GU63" s="20"/>
      <c r="GV63" s="20"/>
      <c r="GW63" s="20"/>
      <c r="GX63" s="20"/>
      <c r="GY63" s="20"/>
      <c r="GZ63" s="20"/>
      <c r="HA63" s="20"/>
      <c r="HB63" s="20"/>
      <c r="HC63" s="20"/>
      <c r="HD63" s="20"/>
      <c r="HE63" s="20"/>
      <c r="HF63" s="20"/>
      <c r="HG63" s="20"/>
      <c r="HH63" s="20"/>
      <c r="HI63" s="20"/>
      <c r="HJ63" s="20"/>
      <c r="HK63" s="20"/>
      <c r="HL63" s="20"/>
      <c r="HM63" s="20"/>
    </row>
    <row r="64" spans="1:221" s="11" customFormat="1" ht="55.95" customHeight="1" x14ac:dyDescent="0.3">
      <c r="A64" s="1">
        <v>70</v>
      </c>
      <c r="B64" s="6" t="s">
        <v>54</v>
      </c>
      <c r="C64" s="10" t="s">
        <v>299</v>
      </c>
      <c r="D64" s="7">
        <v>2025</v>
      </c>
      <c r="E64" s="13" t="s">
        <v>66</v>
      </c>
      <c r="F64" s="7">
        <v>0</v>
      </c>
      <c r="G64" s="1" t="str">
        <f t="shared" si="3"/>
        <v>Daareyni A.</v>
      </c>
      <c r="H64" s="15" t="s">
        <v>204</v>
      </c>
      <c r="I64" s="15" t="s">
        <v>126</v>
      </c>
      <c r="J64" s="1" t="str">
        <f t="shared" ref="J64:J71" si="5">IF(OR(
  E64="International Journal of Production Research",
  E64="Journal of Manufacturing Technology Management",
  E64="International Journal of Production Economics",
  E64="Journal of Industrial Information Integration",
  E64="Transportation Research Part E: Logistics and Transportation Review",
  E64="Journal of Cleaner Production",
  E64="MM 2024 - Proceedings of the 32nd ACM International Conference on Multimedia",
  E64="Oeconomia Copernicana",
  E64="Technology in Society"
), "MGT", "ENG")</f>
        <v>ENG</v>
      </c>
      <c r="K64" s="1" t="s">
        <v>222</v>
      </c>
      <c r="L64" s="1" t="s">
        <v>402</v>
      </c>
      <c r="M64" s="1" t="s">
        <v>425</v>
      </c>
      <c r="N64" s="1" t="s">
        <v>224</v>
      </c>
      <c r="O64" s="1" t="s">
        <v>385</v>
      </c>
      <c r="P64" s="1"/>
      <c r="Q64" s="1"/>
      <c r="R64" s="1" t="s">
        <v>386</v>
      </c>
      <c r="S64" s="6" t="s">
        <v>2014</v>
      </c>
      <c r="T64" s="6" t="s">
        <v>2015</v>
      </c>
      <c r="U64" s="6" t="s">
        <v>2016</v>
      </c>
      <c r="V64" s="6" t="s">
        <v>2017</v>
      </c>
      <c r="W64" s="15" t="s">
        <v>552</v>
      </c>
      <c r="X64" s="6" t="s">
        <v>2018</v>
      </c>
      <c r="Y64" s="6"/>
      <c r="Z64" s="1">
        <v>4</v>
      </c>
      <c r="AA64" s="1">
        <v>3</v>
      </c>
      <c r="AB64" s="7" t="s">
        <v>566</v>
      </c>
      <c r="AC64" s="1" t="s">
        <v>590</v>
      </c>
      <c r="AD64" s="1" t="s">
        <v>573</v>
      </c>
      <c r="AE64" s="7" t="s">
        <v>225</v>
      </c>
      <c r="AF64" s="6"/>
      <c r="AG64" s="6" t="s">
        <v>711</v>
      </c>
      <c r="AH64" s="6" t="s">
        <v>712</v>
      </c>
      <c r="AI64" s="6" t="s">
        <v>713</v>
      </c>
      <c r="AJ64" s="20"/>
      <c r="AK64" s="23" cm="1">
        <f t="array" ref="AK64">_xlfn.IFS(AC64="Principles observation",1, AC64="Concept formulation",2, AC64="Proof-of-concept simulation", 3, AC64="Core function validation", 4, AC64="Integration component testing", 5, AC64="Component validation in relevant environment", 6, AC64="Subsystem demonstration in relevant environment", 7, AC64="System demonstration in operational environment", 8, AC64="Production qualification", 9, AC64="Mission-proven operations", 10)</f>
        <v>5</v>
      </c>
      <c r="AL64" s="23" cm="1">
        <f t="array" ref="AL64">_xlfn.IFS(AD64="Assistive GenAI", 1, AD64="GenAI-led with human oversight", 2, AD64="Autonomous process learning", 3)</f>
        <v>1</v>
      </c>
      <c r="AM64" s="20"/>
      <c r="AN64" s="20"/>
      <c r="AO64" s="20"/>
      <c r="AP64" s="20"/>
      <c r="AQ64" s="20"/>
      <c r="AR64" s="20"/>
      <c r="AS64" s="20"/>
      <c r="AT64" s="20"/>
      <c r="AU64" s="20"/>
      <c r="AV64" s="20"/>
      <c r="AW64" s="20"/>
      <c r="AX64" s="20"/>
      <c r="AY64" s="20"/>
      <c r="AZ64" s="20"/>
      <c r="BA64" s="20"/>
      <c r="BB64" s="20"/>
      <c r="BC64" s="20"/>
      <c r="BD64" s="20"/>
      <c r="BE64" s="20"/>
      <c r="BF64" s="20"/>
      <c r="BG64" s="20"/>
      <c r="BH64" s="20"/>
      <c r="BI64" s="20"/>
      <c r="BJ64" s="20"/>
      <c r="BK64" s="20"/>
      <c r="BL64" s="20"/>
      <c r="BM64" s="20"/>
      <c r="BN64" s="20"/>
      <c r="BO64" s="20"/>
      <c r="BP64" s="20"/>
      <c r="BQ64" s="20"/>
      <c r="BR64" s="20"/>
      <c r="BS64" s="20"/>
      <c r="BT64" s="20"/>
      <c r="BU64" s="20"/>
      <c r="BV64" s="20"/>
      <c r="BW64" s="20"/>
      <c r="BX64" s="20"/>
      <c r="BY64" s="20"/>
      <c r="BZ64" s="20"/>
      <c r="CA64" s="20"/>
      <c r="CB64" s="20"/>
      <c r="CC64" s="20"/>
      <c r="CD64" s="20"/>
      <c r="CE64" s="20"/>
      <c r="CF64" s="20"/>
      <c r="CG64" s="20"/>
      <c r="CH64" s="20"/>
      <c r="CI64" s="20"/>
      <c r="CJ64" s="20"/>
      <c r="CK64" s="20"/>
      <c r="CL64" s="20"/>
      <c r="CM64" s="20"/>
      <c r="CN64" s="20"/>
      <c r="CO64" s="20"/>
      <c r="CP64" s="20"/>
      <c r="CQ64" s="20"/>
      <c r="CR64" s="20"/>
      <c r="CS64" s="20"/>
      <c r="CT64" s="20"/>
      <c r="CU64" s="20"/>
      <c r="CV64" s="20"/>
      <c r="CW64" s="20"/>
      <c r="CX64" s="20"/>
      <c r="CY64" s="20"/>
      <c r="CZ64" s="20"/>
      <c r="DA64" s="20"/>
      <c r="DB64" s="20"/>
      <c r="DC64" s="20"/>
      <c r="DD64" s="20"/>
      <c r="DE64" s="20"/>
      <c r="DF64" s="20"/>
      <c r="DG64" s="20"/>
      <c r="DH64" s="20"/>
      <c r="DI64" s="20"/>
      <c r="DJ64" s="20"/>
      <c r="DK64" s="20"/>
      <c r="DL64" s="20"/>
      <c r="DM64" s="20"/>
      <c r="DN64" s="20"/>
      <c r="DO64" s="20"/>
      <c r="DP64" s="20"/>
      <c r="DQ64" s="20"/>
      <c r="DR64" s="20"/>
      <c r="DS64" s="20"/>
      <c r="DT64" s="20"/>
      <c r="DU64" s="20"/>
      <c r="DV64" s="20"/>
      <c r="DW64" s="20"/>
      <c r="DX64" s="20"/>
      <c r="DY64" s="20"/>
      <c r="DZ64" s="20"/>
      <c r="EA64" s="20"/>
      <c r="EB64" s="20"/>
      <c r="EC64" s="20"/>
      <c r="ED64" s="20"/>
      <c r="EE64" s="20"/>
      <c r="EF64" s="20"/>
      <c r="EG64" s="20"/>
      <c r="EH64" s="20"/>
      <c r="EI64" s="20"/>
      <c r="EJ64" s="20"/>
      <c r="EK64" s="20"/>
      <c r="EL64" s="20"/>
      <c r="EM64" s="20"/>
      <c r="EN64" s="20"/>
      <c r="EO64" s="20"/>
      <c r="EP64" s="20"/>
      <c r="EQ64" s="20"/>
      <c r="ER64" s="20"/>
      <c r="ES64" s="20"/>
      <c r="ET64" s="20"/>
      <c r="EU64" s="20"/>
      <c r="EV64" s="20"/>
      <c r="EW64" s="20"/>
      <c r="EX64" s="20"/>
      <c r="EY64" s="20"/>
      <c r="EZ64" s="20"/>
      <c r="FA64" s="20"/>
      <c r="FB64" s="20"/>
      <c r="FC64" s="20"/>
      <c r="FD64" s="20"/>
      <c r="FE64" s="20"/>
      <c r="FF64" s="20"/>
      <c r="FG64" s="20"/>
      <c r="FH64" s="20"/>
      <c r="FI64" s="20"/>
      <c r="FJ64" s="20"/>
      <c r="FK64" s="20"/>
      <c r="FL64" s="20"/>
      <c r="FM64" s="20"/>
      <c r="FN64" s="20"/>
      <c r="FO64" s="20"/>
      <c r="FP64" s="20"/>
      <c r="FQ64" s="20"/>
      <c r="FR64" s="20"/>
      <c r="FS64" s="20"/>
      <c r="FT64" s="20"/>
      <c r="FU64" s="20"/>
      <c r="FV64" s="20"/>
      <c r="FW64" s="20"/>
      <c r="FX64" s="20"/>
      <c r="FY64" s="20"/>
      <c r="FZ64" s="20"/>
      <c r="GA64" s="20"/>
      <c r="GB64" s="20"/>
      <c r="GC64" s="20"/>
      <c r="GD64" s="20"/>
      <c r="GE64" s="20"/>
      <c r="GF64" s="20"/>
      <c r="GG64" s="20"/>
      <c r="GH64" s="20"/>
      <c r="GI64" s="20"/>
      <c r="GJ64" s="20"/>
      <c r="GK64" s="20"/>
      <c r="GL64" s="20"/>
      <c r="GM64" s="20"/>
      <c r="GN64" s="20"/>
      <c r="GO64" s="20"/>
      <c r="GP64" s="20"/>
      <c r="GQ64" s="20"/>
      <c r="GR64" s="20"/>
      <c r="GS64" s="20"/>
      <c r="GT64" s="20"/>
      <c r="GU64" s="20"/>
      <c r="GV64" s="20"/>
      <c r="GW64" s="20"/>
      <c r="GX64" s="20"/>
      <c r="GY64" s="20"/>
      <c r="GZ64" s="20"/>
      <c r="HA64" s="20"/>
      <c r="HB64" s="20"/>
      <c r="HC64" s="20"/>
      <c r="HD64" s="20"/>
      <c r="HE64" s="20"/>
      <c r="HF64" s="20"/>
      <c r="HG64" s="20"/>
      <c r="HH64" s="20"/>
      <c r="HI64" s="20"/>
      <c r="HJ64" s="20"/>
      <c r="HK64" s="20"/>
      <c r="HL64" s="20"/>
      <c r="HM64" s="20"/>
    </row>
    <row r="65" spans="1:221" s="11" customFormat="1" ht="55.95" customHeight="1" x14ac:dyDescent="0.3">
      <c r="A65" s="1">
        <v>71</v>
      </c>
      <c r="B65" s="6" t="s">
        <v>242</v>
      </c>
      <c r="C65" s="10" t="s">
        <v>302</v>
      </c>
      <c r="D65" s="7">
        <v>2025</v>
      </c>
      <c r="E65" s="13" t="s">
        <v>66</v>
      </c>
      <c r="F65" s="7">
        <v>0</v>
      </c>
      <c r="G65" s="1" t="str">
        <f t="shared" si="3"/>
        <v>Shahin M.</v>
      </c>
      <c r="H65" s="15" t="s">
        <v>351</v>
      </c>
      <c r="I65" s="15" t="s">
        <v>367</v>
      </c>
      <c r="J65" s="1" t="str">
        <f t="shared" si="5"/>
        <v>ENG</v>
      </c>
      <c r="K65" s="1" t="s">
        <v>222</v>
      </c>
      <c r="L65" s="1" t="s">
        <v>413</v>
      </c>
      <c r="M65" s="1" t="s">
        <v>217</v>
      </c>
      <c r="N65" s="1" t="s">
        <v>383</v>
      </c>
      <c r="O65" s="1" t="s">
        <v>426</v>
      </c>
      <c r="P65" s="1" t="s">
        <v>553</v>
      </c>
      <c r="Q65" s="1"/>
      <c r="R65" s="1" t="s">
        <v>433</v>
      </c>
      <c r="S65" s="6" t="s">
        <v>2019</v>
      </c>
      <c r="T65" s="6" t="s">
        <v>2020</v>
      </c>
      <c r="U65" s="6"/>
      <c r="V65" s="6" t="s">
        <v>2021</v>
      </c>
      <c r="W65" s="15" t="s">
        <v>554</v>
      </c>
      <c r="X65" s="6" t="s">
        <v>2022</v>
      </c>
      <c r="Y65" s="6"/>
      <c r="Z65" s="1">
        <v>4</v>
      </c>
      <c r="AA65" s="1">
        <v>3</v>
      </c>
      <c r="AB65" s="1" t="s">
        <v>602</v>
      </c>
      <c r="AC65" s="1" t="s">
        <v>587</v>
      </c>
      <c r="AD65" s="1" t="s">
        <v>573</v>
      </c>
      <c r="AE65" s="1" t="s">
        <v>225</v>
      </c>
      <c r="AF65" s="6"/>
      <c r="AG65" s="6" t="s">
        <v>716</v>
      </c>
      <c r="AH65" s="6" t="s">
        <v>717</v>
      </c>
      <c r="AI65" s="6"/>
      <c r="AJ65" s="20"/>
      <c r="AK65" s="23" cm="1">
        <f t="array" ref="AK65">_xlfn.IFS(AC65="Principles observation",1, AC65="Concept formulation",2, AC65="Proof-of-concept simulation", 3, AC65="Core function validation", 4, AC65="Integration component testing", 5, AC65="Component validation in relevant environment", 6, AC65="Subsystem demonstration in relevant environment", 7, AC65="System demonstration in operational environment", 8, AC65="Production qualification", 9, AC65="Mission-proven operations", 10)</f>
        <v>3</v>
      </c>
      <c r="AL65" s="23" cm="1">
        <f t="array" ref="AL65">_xlfn.IFS(AD65="Assistive GenAI", 1, AD65="GenAI-led with human oversight", 2, AD65="Autonomous process learning", 3)</f>
        <v>1</v>
      </c>
      <c r="AM65" s="20"/>
      <c r="AN65" s="20"/>
      <c r="AO65" s="20"/>
      <c r="AP65" s="20"/>
      <c r="AQ65" s="20"/>
      <c r="AR65" s="20"/>
      <c r="AS65" s="20"/>
      <c r="AT65" s="20"/>
      <c r="AU65" s="20"/>
      <c r="AV65" s="20"/>
      <c r="AW65" s="20"/>
      <c r="AX65" s="20"/>
      <c r="AY65" s="20"/>
      <c r="AZ65" s="20"/>
      <c r="BA65" s="20"/>
      <c r="BB65" s="20"/>
      <c r="BC65" s="20"/>
      <c r="BD65" s="20"/>
      <c r="BE65" s="20"/>
      <c r="BF65" s="20"/>
      <c r="BG65" s="20"/>
      <c r="BH65" s="20"/>
      <c r="BI65" s="20"/>
      <c r="BJ65" s="20"/>
      <c r="BK65" s="20"/>
      <c r="BL65" s="20"/>
      <c r="BM65" s="20"/>
      <c r="BN65" s="20"/>
      <c r="BO65" s="20"/>
      <c r="BP65" s="20"/>
      <c r="BQ65" s="20"/>
      <c r="BR65" s="20"/>
      <c r="BS65" s="20"/>
      <c r="BT65" s="20"/>
      <c r="BU65" s="20"/>
      <c r="BV65" s="20"/>
      <c r="BW65" s="20"/>
      <c r="BX65" s="20"/>
      <c r="BY65" s="20"/>
      <c r="BZ65" s="20"/>
      <c r="CA65" s="20"/>
      <c r="CB65" s="20"/>
      <c r="CC65" s="20"/>
      <c r="CD65" s="20"/>
      <c r="CE65" s="20"/>
      <c r="CF65" s="20"/>
      <c r="CG65" s="20"/>
      <c r="CH65" s="20"/>
      <c r="CI65" s="20"/>
      <c r="CJ65" s="20"/>
      <c r="CK65" s="20"/>
      <c r="CL65" s="20"/>
      <c r="CM65" s="20"/>
      <c r="CN65" s="20"/>
      <c r="CO65" s="20"/>
      <c r="CP65" s="20"/>
      <c r="CQ65" s="20"/>
      <c r="CR65" s="20"/>
      <c r="CS65" s="20"/>
      <c r="CT65" s="20"/>
      <c r="CU65" s="20"/>
      <c r="CV65" s="20"/>
      <c r="CW65" s="20"/>
      <c r="CX65" s="20"/>
      <c r="CY65" s="20"/>
      <c r="CZ65" s="20"/>
      <c r="DA65" s="20"/>
      <c r="DB65" s="20"/>
      <c r="DC65" s="20"/>
      <c r="DD65" s="20"/>
      <c r="DE65" s="20"/>
      <c r="DF65" s="20"/>
      <c r="DG65" s="20"/>
      <c r="DH65" s="20"/>
      <c r="DI65" s="20"/>
      <c r="DJ65" s="20"/>
      <c r="DK65" s="20"/>
      <c r="DL65" s="20"/>
      <c r="DM65" s="20"/>
      <c r="DN65" s="20"/>
      <c r="DO65" s="20"/>
      <c r="DP65" s="20"/>
      <c r="DQ65" s="20"/>
      <c r="DR65" s="20"/>
      <c r="DS65" s="20"/>
      <c r="DT65" s="20"/>
      <c r="DU65" s="20"/>
      <c r="DV65" s="20"/>
      <c r="DW65" s="20"/>
      <c r="DX65" s="20"/>
      <c r="DY65" s="20"/>
      <c r="DZ65" s="20"/>
      <c r="EA65" s="20"/>
      <c r="EB65" s="20"/>
      <c r="EC65" s="20"/>
      <c r="ED65" s="20"/>
      <c r="EE65" s="20"/>
      <c r="EF65" s="20"/>
      <c r="EG65" s="20"/>
      <c r="EH65" s="20"/>
      <c r="EI65" s="20"/>
      <c r="EJ65" s="20"/>
      <c r="EK65" s="20"/>
      <c r="EL65" s="20"/>
      <c r="EM65" s="20"/>
      <c r="EN65" s="20"/>
      <c r="EO65" s="20"/>
      <c r="EP65" s="20"/>
      <c r="EQ65" s="20"/>
      <c r="ER65" s="20"/>
      <c r="ES65" s="20"/>
      <c r="ET65" s="20"/>
      <c r="EU65" s="20"/>
      <c r="EV65" s="20"/>
      <c r="EW65" s="20"/>
      <c r="EX65" s="20"/>
      <c r="EY65" s="20"/>
      <c r="EZ65" s="20"/>
      <c r="FA65" s="20"/>
      <c r="FB65" s="20"/>
      <c r="FC65" s="20"/>
      <c r="FD65" s="20"/>
      <c r="FE65" s="20"/>
      <c r="FF65" s="20"/>
      <c r="FG65" s="20"/>
      <c r="FH65" s="20"/>
      <c r="FI65" s="20"/>
      <c r="FJ65" s="20"/>
      <c r="FK65" s="20"/>
      <c r="FL65" s="20"/>
      <c r="FM65" s="20"/>
      <c r="FN65" s="20"/>
      <c r="FO65" s="20"/>
      <c r="FP65" s="20"/>
      <c r="FQ65" s="20"/>
      <c r="FR65" s="20"/>
      <c r="FS65" s="20"/>
      <c r="FT65" s="20"/>
      <c r="FU65" s="20"/>
      <c r="FV65" s="20"/>
      <c r="FW65" s="20"/>
      <c r="FX65" s="20"/>
      <c r="FY65" s="20"/>
      <c r="FZ65" s="20"/>
      <c r="GA65" s="20"/>
      <c r="GB65" s="20"/>
      <c r="GC65" s="20"/>
      <c r="GD65" s="20"/>
      <c r="GE65" s="20"/>
      <c r="GF65" s="20"/>
      <c r="GG65" s="20"/>
      <c r="GH65" s="20"/>
      <c r="GI65" s="20"/>
      <c r="GJ65" s="20"/>
      <c r="GK65" s="20"/>
      <c r="GL65" s="20"/>
      <c r="GM65" s="20"/>
      <c r="GN65" s="20"/>
      <c r="GO65" s="20"/>
      <c r="GP65" s="20"/>
      <c r="GQ65" s="20"/>
      <c r="GR65" s="20"/>
      <c r="GS65" s="20"/>
      <c r="GT65" s="20"/>
      <c r="GU65" s="20"/>
      <c r="GV65" s="20"/>
      <c r="GW65" s="20"/>
      <c r="GX65" s="20"/>
      <c r="GY65" s="20"/>
      <c r="GZ65" s="20"/>
      <c r="HA65" s="20"/>
      <c r="HB65" s="20"/>
      <c r="HC65" s="20"/>
      <c r="HD65" s="20"/>
      <c r="HE65" s="20"/>
      <c r="HF65" s="20"/>
      <c r="HG65" s="20"/>
      <c r="HH65" s="20"/>
      <c r="HI65" s="20"/>
      <c r="HJ65" s="20"/>
      <c r="HK65" s="20"/>
      <c r="HL65" s="20"/>
      <c r="HM65" s="20"/>
    </row>
    <row r="66" spans="1:221" s="11" customFormat="1" ht="55.95" customHeight="1" x14ac:dyDescent="0.3">
      <c r="A66" s="1">
        <v>72</v>
      </c>
      <c r="B66" s="6" t="s">
        <v>38</v>
      </c>
      <c r="C66" s="10" t="s">
        <v>305</v>
      </c>
      <c r="D66" s="7">
        <v>2025</v>
      </c>
      <c r="E66" s="13" t="s">
        <v>58</v>
      </c>
      <c r="F66" s="7">
        <v>0</v>
      </c>
      <c r="G66" s="1" t="str">
        <f t="shared" ref="G66:G97" si="6">IFERROR(LEFT(C66, FIND(";", C66) - 1), C66)</f>
        <v>Yuan Z.</v>
      </c>
      <c r="H66" s="15" t="s">
        <v>214</v>
      </c>
      <c r="I66" s="15" t="s">
        <v>110</v>
      </c>
      <c r="J66" s="1" t="str">
        <f t="shared" si="5"/>
        <v>ENG</v>
      </c>
      <c r="K66" s="1" t="s">
        <v>222</v>
      </c>
      <c r="L66" s="1" t="s">
        <v>402</v>
      </c>
      <c r="M66" s="1" t="s">
        <v>425</v>
      </c>
      <c r="N66" s="1" t="s">
        <v>383</v>
      </c>
      <c r="O66" s="1"/>
      <c r="P66" s="1" t="s">
        <v>555</v>
      </c>
      <c r="Q66" s="1"/>
      <c r="R66" s="1" t="s">
        <v>423</v>
      </c>
      <c r="S66" s="6" t="s">
        <v>2023</v>
      </c>
      <c r="T66" s="6" t="s">
        <v>2024</v>
      </c>
      <c r="U66" s="6"/>
      <c r="V66" s="6" t="s">
        <v>2025</v>
      </c>
      <c r="W66" s="15" t="s">
        <v>556</v>
      </c>
      <c r="X66" s="6" t="s">
        <v>2026</v>
      </c>
      <c r="Y66" s="6"/>
      <c r="Z66" s="1">
        <v>4</v>
      </c>
      <c r="AA66" s="1">
        <v>3</v>
      </c>
      <c r="AB66" s="7" t="s">
        <v>566</v>
      </c>
      <c r="AC66" s="1" t="s">
        <v>590</v>
      </c>
      <c r="AD66" s="1" t="s">
        <v>574</v>
      </c>
      <c r="AE66" s="1" t="s">
        <v>225</v>
      </c>
      <c r="AF66" s="6"/>
      <c r="AG66" s="6" t="s">
        <v>718</v>
      </c>
      <c r="AH66" s="6" t="s">
        <v>719</v>
      </c>
      <c r="AI66" s="6"/>
      <c r="AJ66" s="20"/>
      <c r="AK66" s="23" cm="1">
        <f t="array" ref="AK66">_xlfn.IFS(AC66="Principles observation",1, AC66="Concept formulation",2, AC66="Proof-of-concept simulation", 3, AC66="Core function validation", 4, AC66="Integration component testing", 5, AC66="Component validation in relevant environment", 6, AC66="Subsystem demonstration in relevant environment", 7, AC66="System demonstration in operational environment", 8, AC66="Production qualification", 9, AC66="Mission-proven operations", 10)</f>
        <v>5</v>
      </c>
      <c r="AL66" s="23" cm="1">
        <f t="array" ref="AL66">_xlfn.IFS(AD66="Assistive GenAI", 1, AD66="GenAI-led with human oversight", 2, AD66="Autonomous process learning", 3)</f>
        <v>2</v>
      </c>
      <c r="AM66" s="20"/>
      <c r="AN66" s="20"/>
      <c r="AO66" s="20"/>
      <c r="AP66" s="20"/>
      <c r="AQ66" s="20"/>
      <c r="AR66" s="20"/>
      <c r="AS66" s="20"/>
      <c r="AT66" s="20"/>
      <c r="AU66" s="20"/>
      <c r="AV66" s="20"/>
      <c r="AW66" s="20"/>
      <c r="AX66" s="20"/>
      <c r="AY66" s="20"/>
      <c r="AZ66" s="20"/>
      <c r="BA66" s="20"/>
      <c r="BB66" s="20"/>
      <c r="BC66" s="20"/>
      <c r="BD66" s="20"/>
      <c r="BE66" s="20"/>
      <c r="BF66" s="20"/>
      <c r="BG66" s="20"/>
      <c r="BH66" s="20"/>
      <c r="BI66" s="20"/>
      <c r="BJ66" s="20"/>
      <c r="BK66" s="20"/>
      <c r="BL66" s="20"/>
      <c r="BM66" s="20"/>
      <c r="BN66" s="20"/>
      <c r="BO66" s="20"/>
      <c r="BP66" s="20"/>
      <c r="BQ66" s="20"/>
      <c r="BR66" s="20"/>
      <c r="BS66" s="20"/>
      <c r="BT66" s="20"/>
      <c r="BU66" s="20"/>
      <c r="BV66" s="20"/>
      <c r="BW66" s="20"/>
      <c r="BX66" s="20"/>
      <c r="BY66" s="20"/>
      <c r="BZ66" s="20"/>
      <c r="CA66" s="20"/>
      <c r="CB66" s="20"/>
      <c r="CC66" s="20"/>
      <c r="CD66" s="20"/>
      <c r="CE66" s="20"/>
      <c r="CF66" s="20"/>
      <c r="CG66" s="20"/>
      <c r="CH66" s="20"/>
      <c r="CI66" s="20"/>
      <c r="CJ66" s="20"/>
      <c r="CK66" s="20"/>
      <c r="CL66" s="20"/>
      <c r="CM66" s="20"/>
      <c r="CN66" s="20"/>
      <c r="CO66" s="20"/>
      <c r="CP66" s="20"/>
      <c r="CQ66" s="20"/>
      <c r="CR66" s="20"/>
      <c r="CS66" s="20"/>
      <c r="CT66" s="20"/>
      <c r="CU66" s="20"/>
      <c r="CV66" s="20"/>
      <c r="CW66" s="20"/>
      <c r="CX66" s="20"/>
      <c r="CY66" s="20"/>
      <c r="CZ66" s="20"/>
      <c r="DA66" s="20"/>
      <c r="DB66" s="20"/>
      <c r="DC66" s="20"/>
      <c r="DD66" s="20"/>
      <c r="DE66" s="20"/>
      <c r="DF66" s="20"/>
      <c r="DG66" s="20"/>
      <c r="DH66" s="20"/>
      <c r="DI66" s="20"/>
      <c r="DJ66" s="20"/>
      <c r="DK66" s="20"/>
      <c r="DL66" s="20"/>
      <c r="DM66" s="20"/>
      <c r="DN66" s="20"/>
      <c r="DO66" s="20"/>
      <c r="DP66" s="20"/>
      <c r="DQ66" s="20"/>
      <c r="DR66" s="20"/>
      <c r="DS66" s="20"/>
      <c r="DT66" s="20"/>
      <c r="DU66" s="20"/>
      <c r="DV66" s="20"/>
      <c r="DW66" s="20"/>
      <c r="DX66" s="20"/>
      <c r="DY66" s="20"/>
      <c r="DZ66" s="20"/>
      <c r="EA66" s="20"/>
      <c r="EB66" s="20"/>
      <c r="EC66" s="20"/>
      <c r="ED66" s="20"/>
      <c r="EE66" s="20"/>
      <c r="EF66" s="20"/>
      <c r="EG66" s="20"/>
      <c r="EH66" s="20"/>
      <c r="EI66" s="20"/>
      <c r="EJ66" s="20"/>
      <c r="EK66" s="20"/>
      <c r="EL66" s="20"/>
      <c r="EM66" s="20"/>
      <c r="EN66" s="20"/>
      <c r="EO66" s="20"/>
      <c r="EP66" s="20"/>
      <c r="EQ66" s="20"/>
      <c r="ER66" s="20"/>
      <c r="ES66" s="20"/>
      <c r="ET66" s="20"/>
      <c r="EU66" s="20"/>
      <c r="EV66" s="20"/>
      <c r="EW66" s="20"/>
      <c r="EX66" s="20"/>
      <c r="EY66" s="20"/>
      <c r="EZ66" s="20"/>
      <c r="FA66" s="20"/>
      <c r="FB66" s="20"/>
      <c r="FC66" s="20"/>
      <c r="FD66" s="20"/>
      <c r="FE66" s="20"/>
      <c r="FF66" s="20"/>
      <c r="FG66" s="20"/>
      <c r="FH66" s="20"/>
      <c r="FI66" s="20"/>
      <c r="FJ66" s="20"/>
      <c r="FK66" s="20"/>
      <c r="FL66" s="20"/>
      <c r="FM66" s="20"/>
      <c r="FN66" s="20"/>
      <c r="FO66" s="20"/>
      <c r="FP66" s="20"/>
      <c r="FQ66" s="20"/>
      <c r="FR66" s="20"/>
      <c r="FS66" s="20"/>
      <c r="FT66" s="20"/>
      <c r="FU66" s="20"/>
      <c r="FV66" s="20"/>
      <c r="FW66" s="20"/>
      <c r="FX66" s="20"/>
      <c r="FY66" s="20"/>
      <c r="FZ66" s="20"/>
      <c r="GA66" s="20"/>
      <c r="GB66" s="20"/>
      <c r="GC66" s="20"/>
      <c r="GD66" s="20"/>
      <c r="GE66" s="20"/>
      <c r="GF66" s="20"/>
      <c r="GG66" s="20"/>
      <c r="GH66" s="20"/>
      <c r="GI66" s="20"/>
      <c r="GJ66" s="20"/>
      <c r="GK66" s="20"/>
      <c r="GL66" s="20"/>
      <c r="GM66" s="20"/>
      <c r="GN66" s="20"/>
      <c r="GO66" s="20"/>
      <c r="GP66" s="20"/>
      <c r="GQ66" s="20"/>
      <c r="GR66" s="20"/>
      <c r="GS66" s="20"/>
      <c r="GT66" s="20"/>
      <c r="GU66" s="20"/>
      <c r="GV66" s="20"/>
      <c r="GW66" s="20"/>
      <c r="GX66" s="20"/>
      <c r="GY66" s="20"/>
      <c r="GZ66" s="20"/>
      <c r="HA66" s="20"/>
      <c r="HB66" s="20"/>
      <c r="HC66" s="20"/>
      <c r="HD66" s="20"/>
      <c r="HE66" s="20"/>
      <c r="HF66" s="20"/>
      <c r="HG66" s="20"/>
      <c r="HH66" s="20"/>
      <c r="HI66" s="20"/>
      <c r="HJ66" s="20"/>
      <c r="HK66" s="20"/>
      <c r="HL66" s="20"/>
      <c r="HM66" s="20"/>
    </row>
    <row r="67" spans="1:221" s="11" customFormat="1" ht="55.95" customHeight="1" x14ac:dyDescent="0.3">
      <c r="A67" s="1">
        <v>73</v>
      </c>
      <c r="B67" s="6" t="s">
        <v>244</v>
      </c>
      <c r="C67" s="10" t="s">
        <v>308</v>
      </c>
      <c r="D67" s="7">
        <v>2025</v>
      </c>
      <c r="E67" s="13" t="s">
        <v>59</v>
      </c>
      <c r="F67" s="7">
        <v>0</v>
      </c>
      <c r="G67" s="1" t="str">
        <f t="shared" si="6"/>
        <v>Sahadevan V.</v>
      </c>
      <c r="H67" s="15" t="s">
        <v>354</v>
      </c>
      <c r="I67" s="15"/>
      <c r="J67" s="1" t="str">
        <f t="shared" si="5"/>
        <v>ENG</v>
      </c>
      <c r="K67" s="1" t="s">
        <v>222</v>
      </c>
      <c r="L67" s="1" t="s">
        <v>402</v>
      </c>
      <c r="M67" s="1" t="s">
        <v>425</v>
      </c>
      <c r="N67" s="1" t="s">
        <v>224</v>
      </c>
      <c r="O67" s="1" t="s">
        <v>385</v>
      </c>
      <c r="P67" s="1" t="s">
        <v>557</v>
      </c>
      <c r="Q67" s="1"/>
      <c r="R67" s="1" t="s">
        <v>423</v>
      </c>
      <c r="S67" s="6" t="s">
        <v>2027</v>
      </c>
      <c r="T67" s="6" t="s">
        <v>2028</v>
      </c>
      <c r="U67" s="6" t="s">
        <v>2029</v>
      </c>
      <c r="V67" s="6" t="s">
        <v>2030</v>
      </c>
      <c r="W67" s="15" t="s">
        <v>558</v>
      </c>
      <c r="X67" s="6" t="s">
        <v>2031</v>
      </c>
      <c r="Y67" s="6"/>
      <c r="Z67" s="1">
        <v>4</v>
      </c>
      <c r="AA67" s="1">
        <v>3</v>
      </c>
      <c r="AB67" s="1" t="s">
        <v>602</v>
      </c>
      <c r="AC67" s="1" t="s">
        <v>587</v>
      </c>
      <c r="AD67" s="1" t="s">
        <v>573</v>
      </c>
      <c r="AE67" s="1" t="s">
        <v>225</v>
      </c>
      <c r="AF67" s="6"/>
      <c r="AG67" s="6" t="s">
        <v>720</v>
      </c>
      <c r="AH67" s="6" t="s">
        <v>721</v>
      </c>
      <c r="AI67" s="6"/>
      <c r="AJ67" s="20"/>
      <c r="AK67" s="23" cm="1">
        <f t="array" ref="AK67">_xlfn.IFS(AC67="Principles observation",1, AC67="Concept formulation",2, AC67="Proof-of-concept simulation", 3, AC67="Core function validation", 4, AC67="Integration component testing", 5, AC67="Component validation in relevant environment", 6, AC67="Subsystem demonstration in relevant environment", 7, AC67="System demonstration in operational environment", 8, AC67="Production qualification", 9, AC67="Mission-proven operations", 10)</f>
        <v>3</v>
      </c>
      <c r="AL67" s="23" cm="1">
        <f t="array" ref="AL67">_xlfn.IFS(AD67="Assistive GenAI", 1, AD67="GenAI-led with human oversight", 2, AD67="Autonomous process learning", 3)</f>
        <v>1</v>
      </c>
      <c r="AM67" s="20"/>
      <c r="AN67" s="20"/>
      <c r="AO67" s="20"/>
      <c r="AP67" s="20"/>
      <c r="AQ67" s="20"/>
      <c r="AR67" s="20"/>
      <c r="AS67" s="20"/>
      <c r="AT67" s="20"/>
      <c r="AU67" s="20"/>
      <c r="AV67" s="20"/>
      <c r="AW67" s="20"/>
      <c r="AX67" s="20"/>
      <c r="AY67" s="20"/>
      <c r="AZ67" s="20"/>
      <c r="BA67" s="20"/>
      <c r="BB67" s="20"/>
      <c r="BC67" s="20"/>
      <c r="BD67" s="20"/>
      <c r="BE67" s="20"/>
      <c r="BF67" s="20"/>
      <c r="BG67" s="20"/>
      <c r="BH67" s="20"/>
      <c r="BI67" s="20"/>
      <c r="BJ67" s="20"/>
      <c r="BK67" s="20"/>
      <c r="BL67" s="20"/>
      <c r="BM67" s="20"/>
      <c r="BN67" s="20"/>
      <c r="BO67" s="20"/>
      <c r="BP67" s="20"/>
      <c r="BQ67" s="20"/>
      <c r="BR67" s="20"/>
      <c r="BS67" s="20"/>
      <c r="BT67" s="20"/>
      <c r="BU67" s="20"/>
      <c r="BV67" s="20"/>
      <c r="BW67" s="20"/>
      <c r="BX67" s="20"/>
      <c r="BY67" s="20"/>
      <c r="BZ67" s="20"/>
      <c r="CA67" s="20"/>
      <c r="CB67" s="20"/>
      <c r="CC67" s="20"/>
      <c r="CD67" s="20"/>
      <c r="CE67" s="20"/>
      <c r="CF67" s="20"/>
      <c r="CG67" s="20"/>
      <c r="CH67" s="20"/>
      <c r="CI67" s="20"/>
      <c r="CJ67" s="20"/>
      <c r="CK67" s="20"/>
      <c r="CL67" s="20"/>
      <c r="CM67" s="20"/>
      <c r="CN67" s="20"/>
      <c r="CO67" s="20"/>
      <c r="CP67" s="20"/>
      <c r="CQ67" s="20"/>
      <c r="CR67" s="20"/>
      <c r="CS67" s="20"/>
      <c r="CT67" s="20"/>
      <c r="CU67" s="20"/>
      <c r="CV67" s="20"/>
      <c r="CW67" s="20"/>
      <c r="CX67" s="20"/>
      <c r="CY67" s="20"/>
      <c r="CZ67" s="20"/>
      <c r="DA67" s="20"/>
      <c r="DB67" s="20"/>
      <c r="DC67" s="20"/>
      <c r="DD67" s="20"/>
      <c r="DE67" s="20"/>
      <c r="DF67" s="20"/>
      <c r="DG67" s="20"/>
      <c r="DH67" s="20"/>
      <c r="DI67" s="20"/>
      <c r="DJ67" s="20"/>
      <c r="DK67" s="20"/>
      <c r="DL67" s="20"/>
      <c r="DM67" s="20"/>
      <c r="DN67" s="20"/>
      <c r="DO67" s="20"/>
      <c r="DP67" s="20"/>
      <c r="DQ67" s="20"/>
      <c r="DR67" s="20"/>
      <c r="DS67" s="20"/>
      <c r="DT67" s="20"/>
      <c r="DU67" s="20"/>
      <c r="DV67" s="20"/>
      <c r="DW67" s="20"/>
      <c r="DX67" s="20"/>
      <c r="DY67" s="20"/>
      <c r="DZ67" s="20"/>
      <c r="EA67" s="20"/>
      <c r="EB67" s="20"/>
      <c r="EC67" s="20"/>
      <c r="ED67" s="20"/>
      <c r="EE67" s="20"/>
      <c r="EF67" s="20"/>
      <c r="EG67" s="20"/>
      <c r="EH67" s="20"/>
      <c r="EI67" s="20"/>
      <c r="EJ67" s="20"/>
      <c r="EK67" s="20"/>
      <c r="EL67" s="20"/>
      <c r="EM67" s="20"/>
      <c r="EN67" s="20"/>
      <c r="EO67" s="20"/>
      <c r="EP67" s="20"/>
      <c r="EQ67" s="20"/>
      <c r="ER67" s="20"/>
      <c r="ES67" s="20"/>
      <c r="ET67" s="20"/>
      <c r="EU67" s="20"/>
      <c r="EV67" s="20"/>
      <c r="EW67" s="20"/>
      <c r="EX67" s="20"/>
      <c r="EY67" s="20"/>
      <c r="EZ67" s="20"/>
      <c r="FA67" s="20"/>
      <c r="FB67" s="20"/>
      <c r="FC67" s="20"/>
      <c r="FD67" s="20"/>
      <c r="FE67" s="20"/>
      <c r="FF67" s="20"/>
      <c r="FG67" s="20"/>
      <c r="FH67" s="20"/>
      <c r="FI67" s="20"/>
      <c r="FJ67" s="20"/>
      <c r="FK67" s="20"/>
      <c r="FL67" s="20"/>
      <c r="FM67" s="20"/>
      <c r="FN67" s="20"/>
      <c r="FO67" s="20"/>
      <c r="FP67" s="20"/>
      <c r="FQ67" s="20"/>
      <c r="FR67" s="20"/>
      <c r="FS67" s="20"/>
      <c r="FT67" s="20"/>
      <c r="FU67" s="20"/>
      <c r="FV67" s="20"/>
      <c r="FW67" s="20"/>
      <c r="FX67" s="20"/>
      <c r="FY67" s="20"/>
      <c r="FZ67" s="20"/>
      <c r="GA67" s="20"/>
      <c r="GB67" s="20"/>
      <c r="GC67" s="20"/>
      <c r="GD67" s="20"/>
      <c r="GE67" s="20"/>
      <c r="GF67" s="20"/>
      <c r="GG67" s="20"/>
      <c r="GH67" s="20"/>
      <c r="GI67" s="20"/>
      <c r="GJ67" s="20"/>
      <c r="GK67" s="20"/>
      <c r="GL67" s="20"/>
      <c r="GM67" s="20"/>
      <c r="GN67" s="20"/>
      <c r="GO67" s="20"/>
      <c r="GP67" s="20"/>
      <c r="GQ67" s="20"/>
      <c r="GR67" s="20"/>
      <c r="GS67" s="20"/>
      <c r="GT67" s="20"/>
      <c r="GU67" s="20"/>
      <c r="GV67" s="20"/>
      <c r="GW67" s="20"/>
      <c r="GX67" s="20"/>
      <c r="GY67" s="20"/>
      <c r="GZ67" s="20"/>
      <c r="HA67" s="20"/>
      <c r="HB67" s="20"/>
      <c r="HC67" s="20"/>
      <c r="HD67" s="20"/>
      <c r="HE67" s="20"/>
      <c r="HF67" s="20"/>
      <c r="HG67" s="20"/>
      <c r="HH67" s="20"/>
      <c r="HI67" s="20"/>
      <c r="HJ67" s="20"/>
      <c r="HK67" s="20"/>
      <c r="HL67" s="20"/>
      <c r="HM67" s="20"/>
    </row>
    <row r="68" spans="1:221" s="11" customFormat="1" ht="55.95" customHeight="1" x14ac:dyDescent="0.3">
      <c r="A68" s="1">
        <v>75</v>
      </c>
      <c r="B68" s="6" t="s">
        <v>246</v>
      </c>
      <c r="C68" s="10" t="s">
        <v>312</v>
      </c>
      <c r="D68" s="7">
        <v>2025</v>
      </c>
      <c r="E68" s="13" t="s">
        <v>70</v>
      </c>
      <c r="F68" s="7">
        <v>0</v>
      </c>
      <c r="G68" s="1" t="str">
        <f t="shared" si="6"/>
        <v>Chen G.</v>
      </c>
      <c r="H68" s="15" t="s">
        <v>356</v>
      </c>
      <c r="I68" s="15"/>
      <c r="J68" s="1" t="str">
        <f t="shared" si="5"/>
        <v>ENG</v>
      </c>
      <c r="K68" s="1" t="s">
        <v>222</v>
      </c>
      <c r="L68" s="1" t="s">
        <v>402</v>
      </c>
      <c r="M68" s="1" t="s">
        <v>425</v>
      </c>
      <c r="N68" s="1" t="s">
        <v>383</v>
      </c>
      <c r="O68" s="1" t="s">
        <v>559</v>
      </c>
      <c r="P68" s="1" t="s">
        <v>432</v>
      </c>
      <c r="Q68" s="1"/>
      <c r="R68" s="1" t="s">
        <v>423</v>
      </c>
      <c r="S68" s="6" t="s">
        <v>2032</v>
      </c>
      <c r="T68" s="6" t="s">
        <v>2033</v>
      </c>
      <c r="U68" s="6" t="s">
        <v>2034</v>
      </c>
      <c r="V68" s="6" t="s">
        <v>2035</v>
      </c>
      <c r="W68" s="15" t="s">
        <v>560</v>
      </c>
      <c r="X68" s="6" t="s">
        <v>2036</v>
      </c>
      <c r="Y68" s="6"/>
      <c r="Z68" s="1">
        <v>4</v>
      </c>
      <c r="AA68" s="1">
        <v>3</v>
      </c>
      <c r="AB68" s="1" t="s">
        <v>566</v>
      </c>
      <c r="AC68" s="1" t="s">
        <v>578</v>
      </c>
      <c r="AD68" s="1" t="s">
        <v>573</v>
      </c>
      <c r="AE68" s="1" t="s">
        <v>225</v>
      </c>
      <c r="AF68" s="6"/>
      <c r="AG68" s="6" t="s">
        <v>722</v>
      </c>
      <c r="AH68" s="6" t="s">
        <v>723</v>
      </c>
      <c r="AI68" s="6"/>
      <c r="AJ68" s="20"/>
      <c r="AK68" s="23" cm="1">
        <f t="array" ref="AK68">_xlfn.IFS(AC68="Principles observation",1, AC68="Concept formulation",2, AC68="Proof-of-concept simulation", 3, AC68="Core function validation", 4, AC68="Integration component testing", 5, AC68="Component validation in relevant environment", 6, AC68="Subsystem demonstration in relevant environment", 7, AC68="System demonstration in operational environment", 8, AC68="Production qualification", 9, AC68="Mission-proven operations", 10)</f>
        <v>4</v>
      </c>
      <c r="AL68" s="23" cm="1">
        <f t="array" ref="AL68">_xlfn.IFS(AD68="Assistive GenAI", 1, AD68="GenAI-led with human oversight", 2, AD68="Autonomous process learning", 3)</f>
        <v>1</v>
      </c>
      <c r="AM68" s="20"/>
      <c r="AN68" s="20"/>
      <c r="AO68" s="20"/>
      <c r="AP68" s="20"/>
      <c r="AQ68" s="20"/>
      <c r="AR68" s="20"/>
      <c r="AS68" s="20"/>
      <c r="AT68" s="20"/>
      <c r="AU68" s="20"/>
      <c r="AV68" s="20"/>
      <c r="AW68" s="20"/>
      <c r="AX68" s="20"/>
      <c r="AY68" s="20"/>
      <c r="AZ68" s="20"/>
      <c r="BA68" s="20"/>
      <c r="BB68" s="20"/>
      <c r="BC68" s="20"/>
      <c r="BD68" s="20"/>
      <c r="BE68" s="20"/>
      <c r="BF68" s="20"/>
      <c r="BG68" s="20"/>
      <c r="BH68" s="20"/>
      <c r="BI68" s="20"/>
      <c r="BJ68" s="20"/>
      <c r="BK68" s="20"/>
      <c r="BL68" s="20"/>
      <c r="BM68" s="20"/>
      <c r="BN68" s="20"/>
      <c r="BO68" s="20"/>
      <c r="BP68" s="20"/>
      <c r="BQ68" s="20"/>
      <c r="BR68" s="20"/>
      <c r="BS68" s="20"/>
      <c r="BT68" s="20"/>
      <c r="BU68" s="20"/>
      <c r="BV68" s="20"/>
      <c r="BW68" s="20"/>
      <c r="BX68" s="20"/>
      <c r="BY68" s="20"/>
      <c r="BZ68" s="20"/>
      <c r="CA68" s="20"/>
      <c r="CB68" s="20"/>
      <c r="CC68" s="20"/>
      <c r="CD68" s="20"/>
      <c r="CE68" s="20"/>
      <c r="CF68" s="20"/>
      <c r="CG68" s="20"/>
      <c r="CH68" s="20"/>
      <c r="CI68" s="20"/>
      <c r="CJ68" s="20"/>
      <c r="CK68" s="20"/>
      <c r="CL68" s="20"/>
      <c r="CM68" s="20"/>
      <c r="CN68" s="20"/>
      <c r="CO68" s="20"/>
      <c r="CP68" s="20"/>
      <c r="CQ68" s="20"/>
      <c r="CR68" s="20"/>
      <c r="CS68" s="20"/>
      <c r="CT68" s="20"/>
      <c r="CU68" s="20"/>
      <c r="CV68" s="20"/>
      <c r="CW68" s="20"/>
      <c r="CX68" s="20"/>
      <c r="CY68" s="20"/>
      <c r="CZ68" s="20"/>
      <c r="DA68" s="20"/>
      <c r="DB68" s="20"/>
      <c r="DC68" s="20"/>
      <c r="DD68" s="20"/>
      <c r="DE68" s="20"/>
      <c r="DF68" s="20"/>
      <c r="DG68" s="20"/>
      <c r="DH68" s="20"/>
      <c r="DI68" s="20"/>
      <c r="DJ68" s="20"/>
      <c r="DK68" s="20"/>
      <c r="DL68" s="20"/>
      <c r="DM68" s="20"/>
      <c r="DN68" s="20"/>
      <c r="DO68" s="20"/>
      <c r="DP68" s="20"/>
      <c r="DQ68" s="20"/>
      <c r="DR68" s="20"/>
      <c r="DS68" s="20"/>
      <c r="DT68" s="20"/>
      <c r="DU68" s="20"/>
      <c r="DV68" s="20"/>
      <c r="DW68" s="20"/>
      <c r="DX68" s="20"/>
      <c r="DY68" s="20"/>
      <c r="DZ68" s="20"/>
      <c r="EA68" s="20"/>
      <c r="EB68" s="20"/>
      <c r="EC68" s="20"/>
      <c r="ED68" s="20"/>
      <c r="EE68" s="20"/>
      <c r="EF68" s="20"/>
      <c r="EG68" s="20"/>
      <c r="EH68" s="20"/>
      <c r="EI68" s="20"/>
      <c r="EJ68" s="20"/>
      <c r="EK68" s="20"/>
      <c r="EL68" s="20"/>
      <c r="EM68" s="20"/>
      <c r="EN68" s="20"/>
      <c r="EO68" s="20"/>
      <c r="EP68" s="20"/>
      <c r="EQ68" s="20"/>
      <c r="ER68" s="20"/>
      <c r="ES68" s="20"/>
      <c r="ET68" s="20"/>
      <c r="EU68" s="20"/>
      <c r="EV68" s="20"/>
      <c r="EW68" s="20"/>
      <c r="EX68" s="20"/>
      <c r="EY68" s="20"/>
      <c r="EZ68" s="20"/>
      <c r="FA68" s="20"/>
      <c r="FB68" s="20"/>
      <c r="FC68" s="20"/>
      <c r="FD68" s="20"/>
      <c r="FE68" s="20"/>
      <c r="FF68" s="20"/>
      <c r="FG68" s="20"/>
      <c r="FH68" s="20"/>
      <c r="FI68" s="20"/>
      <c r="FJ68" s="20"/>
      <c r="FK68" s="20"/>
      <c r="FL68" s="20"/>
      <c r="FM68" s="20"/>
      <c r="FN68" s="20"/>
      <c r="FO68" s="20"/>
      <c r="FP68" s="20"/>
      <c r="FQ68" s="20"/>
      <c r="FR68" s="20"/>
      <c r="FS68" s="20"/>
      <c r="FT68" s="20"/>
      <c r="FU68" s="20"/>
      <c r="FV68" s="20"/>
      <c r="FW68" s="20"/>
      <c r="FX68" s="20"/>
      <c r="FY68" s="20"/>
      <c r="FZ68" s="20"/>
      <c r="GA68" s="20"/>
      <c r="GB68" s="20"/>
      <c r="GC68" s="20"/>
      <c r="GD68" s="20"/>
      <c r="GE68" s="20"/>
      <c r="GF68" s="20"/>
      <c r="GG68" s="20"/>
      <c r="GH68" s="20"/>
      <c r="GI68" s="20"/>
      <c r="GJ68" s="20"/>
      <c r="GK68" s="20"/>
      <c r="GL68" s="20"/>
      <c r="GM68" s="20"/>
      <c r="GN68" s="20"/>
      <c r="GO68" s="20"/>
      <c r="GP68" s="20"/>
      <c r="GQ68" s="20"/>
      <c r="GR68" s="20"/>
      <c r="GS68" s="20"/>
      <c r="GT68" s="20"/>
      <c r="GU68" s="20"/>
      <c r="GV68" s="20"/>
      <c r="GW68" s="20"/>
      <c r="GX68" s="20"/>
      <c r="GY68" s="20"/>
      <c r="GZ68" s="20"/>
      <c r="HA68" s="20"/>
      <c r="HB68" s="20"/>
      <c r="HC68" s="20"/>
      <c r="HD68" s="20"/>
      <c r="HE68" s="20"/>
      <c r="HF68" s="20"/>
      <c r="HG68" s="20"/>
      <c r="HH68" s="20"/>
      <c r="HI68" s="20"/>
      <c r="HJ68" s="20"/>
      <c r="HK68" s="20"/>
      <c r="HL68" s="20"/>
      <c r="HM68" s="20"/>
    </row>
    <row r="69" spans="1:221" s="11" customFormat="1" ht="55.95" customHeight="1" x14ac:dyDescent="0.3">
      <c r="A69" s="1">
        <v>76</v>
      </c>
      <c r="B69" s="6" t="s">
        <v>51</v>
      </c>
      <c r="C69" s="10" t="s">
        <v>313</v>
      </c>
      <c r="D69" s="7">
        <v>2025</v>
      </c>
      <c r="E69" s="13" t="s">
        <v>61</v>
      </c>
      <c r="F69" s="7">
        <v>0</v>
      </c>
      <c r="G69" s="1" t="str">
        <f t="shared" si="6"/>
        <v>Alam L.</v>
      </c>
      <c r="H69" s="15" t="s">
        <v>202</v>
      </c>
      <c r="I69" s="15" t="s">
        <v>123</v>
      </c>
      <c r="J69" s="1" t="str">
        <f t="shared" si="5"/>
        <v>ENG</v>
      </c>
      <c r="K69" s="1" t="s">
        <v>222</v>
      </c>
      <c r="L69" s="1" t="s">
        <v>402</v>
      </c>
      <c r="M69" s="1" t="s">
        <v>425</v>
      </c>
      <c r="N69" s="1" t="s">
        <v>383</v>
      </c>
      <c r="O69" s="1" t="s">
        <v>426</v>
      </c>
      <c r="P69" s="1" t="s">
        <v>432</v>
      </c>
      <c r="Q69" s="1"/>
      <c r="R69" s="1" t="s">
        <v>433</v>
      </c>
      <c r="S69" s="6" t="s">
        <v>2037</v>
      </c>
      <c r="T69" s="6" t="s">
        <v>2038</v>
      </c>
      <c r="U69" s="6" t="s">
        <v>2039</v>
      </c>
      <c r="V69" s="6" t="s">
        <v>2040</v>
      </c>
      <c r="W69" s="15" t="s">
        <v>561</v>
      </c>
      <c r="X69" s="6" t="s">
        <v>2041</v>
      </c>
      <c r="Y69" s="6"/>
      <c r="Z69" s="1">
        <v>4</v>
      </c>
      <c r="AA69" s="1">
        <v>3</v>
      </c>
      <c r="AB69" s="1" t="s">
        <v>566</v>
      </c>
      <c r="AC69" s="1" t="s">
        <v>578</v>
      </c>
      <c r="AD69" s="1" t="s">
        <v>573</v>
      </c>
      <c r="AE69" s="1" t="s">
        <v>225</v>
      </c>
      <c r="AF69" s="6"/>
      <c r="AG69" s="6" t="s">
        <v>724</v>
      </c>
      <c r="AH69" s="6" t="s">
        <v>725</v>
      </c>
      <c r="AI69" s="6"/>
      <c r="AJ69" s="20"/>
      <c r="AK69" s="23" cm="1">
        <f t="array" ref="AK69">_xlfn.IFS(AC69="Principles observation",1, AC69="Concept formulation",2, AC69="Proof-of-concept simulation", 3, AC69="Core function validation", 4, AC69="Integration component testing", 5, AC69="Component validation in relevant environment", 6, AC69="Subsystem demonstration in relevant environment", 7, AC69="System demonstration in operational environment", 8, AC69="Production qualification", 9, AC69="Mission-proven operations", 10)</f>
        <v>4</v>
      </c>
      <c r="AL69" s="23" cm="1">
        <f t="array" ref="AL69">_xlfn.IFS(AD69="Assistive GenAI", 1, AD69="GenAI-led with human oversight", 2, AD69="Autonomous process learning", 3)</f>
        <v>1</v>
      </c>
      <c r="AM69" s="20"/>
      <c r="AN69" s="20"/>
      <c r="AO69" s="20"/>
      <c r="AP69" s="20"/>
      <c r="AQ69" s="20"/>
      <c r="AR69" s="20"/>
      <c r="AS69" s="20"/>
      <c r="AT69" s="20"/>
      <c r="AU69" s="20"/>
      <c r="AV69" s="20"/>
      <c r="AW69" s="20"/>
      <c r="AX69" s="20"/>
      <c r="AY69" s="20"/>
      <c r="AZ69" s="20"/>
      <c r="BA69" s="20"/>
      <c r="BB69" s="20"/>
      <c r="BC69" s="20"/>
      <c r="BD69" s="20"/>
      <c r="BE69" s="20"/>
      <c r="BF69" s="20"/>
      <c r="BG69" s="20"/>
      <c r="BH69" s="20"/>
      <c r="BI69" s="20"/>
      <c r="BJ69" s="20"/>
      <c r="BK69" s="20"/>
      <c r="BL69" s="20"/>
      <c r="BM69" s="20"/>
      <c r="BN69" s="20"/>
      <c r="BO69" s="20"/>
      <c r="BP69" s="20"/>
      <c r="BQ69" s="20"/>
      <c r="BR69" s="20"/>
      <c r="BS69" s="20"/>
      <c r="BT69" s="20"/>
      <c r="BU69" s="20"/>
      <c r="BV69" s="20"/>
      <c r="BW69" s="20"/>
      <c r="BX69" s="20"/>
      <c r="BY69" s="20"/>
      <c r="BZ69" s="20"/>
      <c r="CA69" s="20"/>
      <c r="CB69" s="20"/>
      <c r="CC69" s="20"/>
      <c r="CD69" s="20"/>
      <c r="CE69" s="20"/>
      <c r="CF69" s="20"/>
      <c r="CG69" s="20"/>
      <c r="CH69" s="20"/>
      <c r="CI69" s="20"/>
      <c r="CJ69" s="20"/>
      <c r="CK69" s="20"/>
      <c r="CL69" s="20"/>
      <c r="CM69" s="20"/>
      <c r="CN69" s="20"/>
      <c r="CO69" s="20"/>
      <c r="CP69" s="20"/>
      <c r="CQ69" s="20"/>
      <c r="CR69" s="20"/>
      <c r="CS69" s="20"/>
      <c r="CT69" s="20"/>
      <c r="CU69" s="20"/>
      <c r="CV69" s="20"/>
      <c r="CW69" s="20"/>
      <c r="CX69" s="20"/>
      <c r="CY69" s="20"/>
      <c r="CZ69" s="20"/>
      <c r="DA69" s="20"/>
      <c r="DB69" s="20"/>
      <c r="DC69" s="20"/>
      <c r="DD69" s="20"/>
      <c r="DE69" s="20"/>
      <c r="DF69" s="20"/>
      <c r="DG69" s="20"/>
      <c r="DH69" s="20"/>
      <c r="DI69" s="20"/>
      <c r="DJ69" s="20"/>
      <c r="DK69" s="20"/>
      <c r="DL69" s="20"/>
      <c r="DM69" s="20"/>
      <c r="DN69" s="20"/>
      <c r="DO69" s="20"/>
      <c r="DP69" s="20"/>
      <c r="DQ69" s="20"/>
      <c r="DR69" s="20"/>
      <c r="DS69" s="20"/>
      <c r="DT69" s="20"/>
      <c r="DU69" s="20"/>
      <c r="DV69" s="20"/>
      <c r="DW69" s="20"/>
      <c r="DX69" s="20"/>
      <c r="DY69" s="20"/>
      <c r="DZ69" s="20"/>
      <c r="EA69" s="20"/>
      <c r="EB69" s="20"/>
      <c r="EC69" s="20"/>
      <c r="ED69" s="20"/>
      <c r="EE69" s="20"/>
      <c r="EF69" s="20"/>
      <c r="EG69" s="20"/>
      <c r="EH69" s="20"/>
      <c r="EI69" s="20"/>
      <c r="EJ69" s="20"/>
      <c r="EK69" s="20"/>
      <c r="EL69" s="20"/>
      <c r="EM69" s="20"/>
      <c r="EN69" s="20"/>
      <c r="EO69" s="20"/>
      <c r="EP69" s="20"/>
      <c r="EQ69" s="20"/>
      <c r="ER69" s="20"/>
      <c r="ES69" s="20"/>
      <c r="ET69" s="20"/>
      <c r="EU69" s="20"/>
      <c r="EV69" s="20"/>
      <c r="EW69" s="20"/>
      <c r="EX69" s="20"/>
      <c r="EY69" s="20"/>
      <c r="EZ69" s="20"/>
      <c r="FA69" s="20"/>
      <c r="FB69" s="20"/>
      <c r="FC69" s="20"/>
      <c r="FD69" s="20"/>
      <c r="FE69" s="20"/>
      <c r="FF69" s="20"/>
      <c r="FG69" s="20"/>
      <c r="FH69" s="20"/>
      <c r="FI69" s="20"/>
      <c r="FJ69" s="20"/>
      <c r="FK69" s="20"/>
      <c r="FL69" s="20"/>
      <c r="FM69" s="20"/>
      <c r="FN69" s="20"/>
      <c r="FO69" s="20"/>
      <c r="FP69" s="20"/>
      <c r="FQ69" s="20"/>
      <c r="FR69" s="20"/>
      <c r="FS69" s="20"/>
      <c r="FT69" s="20"/>
      <c r="FU69" s="20"/>
      <c r="FV69" s="20"/>
      <c r="FW69" s="20"/>
      <c r="FX69" s="20"/>
      <c r="FY69" s="20"/>
      <c r="FZ69" s="20"/>
      <c r="GA69" s="20"/>
      <c r="GB69" s="20"/>
      <c r="GC69" s="20"/>
      <c r="GD69" s="20"/>
      <c r="GE69" s="20"/>
      <c r="GF69" s="20"/>
      <c r="GG69" s="20"/>
      <c r="GH69" s="20"/>
      <c r="GI69" s="20"/>
      <c r="GJ69" s="20"/>
      <c r="GK69" s="20"/>
      <c r="GL69" s="20"/>
      <c r="GM69" s="20"/>
      <c r="GN69" s="20"/>
      <c r="GO69" s="20"/>
      <c r="GP69" s="20"/>
      <c r="GQ69" s="20"/>
      <c r="GR69" s="20"/>
      <c r="GS69" s="20"/>
      <c r="GT69" s="20"/>
      <c r="GU69" s="20"/>
      <c r="GV69" s="20"/>
      <c r="GW69" s="20"/>
      <c r="GX69" s="20"/>
      <c r="GY69" s="20"/>
      <c r="GZ69" s="20"/>
      <c r="HA69" s="20"/>
      <c r="HB69" s="20"/>
      <c r="HC69" s="20"/>
      <c r="HD69" s="20"/>
      <c r="HE69" s="20"/>
      <c r="HF69" s="20"/>
      <c r="HG69" s="20"/>
      <c r="HH69" s="20"/>
      <c r="HI69" s="20"/>
      <c r="HJ69" s="20"/>
      <c r="HK69" s="20"/>
      <c r="HL69" s="20"/>
      <c r="HM69" s="20"/>
    </row>
    <row r="70" spans="1:221" s="11" customFormat="1" ht="55.95" customHeight="1" x14ac:dyDescent="0.3">
      <c r="A70" s="1">
        <v>77</v>
      </c>
      <c r="B70" s="6" t="s">
        <v>247</v>
      </c>
      <c r="C70" s="10" t="s">
        <v>314</v>
      </c>
      <c r="D70" s="7">
        <v>2025</v>
      </c>
      <c r="E70" s="13" t="s">
        <v>59</v>
      </c>
      <c r="F70" s="7">
        <v>0</v>
      </c>
      <c r="G70" s="1" t="str">
        <f t="shared" si="6"/>
        <v>Duan C.</v>
      </c>
      <c r="H70" s="15" t="s">
        <v>357</v>
      </c>
      <c r="I70" s="15" t="s">
        <v>370</v>
      </c>
      <c r="J70" s="1" t="str">
        <f t="shared" si="5"/>
        <v>ENG</v>
      </c>
      <c r="K70" s="1" t="s">
        <v>222</v>
      </c>
      <c r="L70" s="1" t="s">
        <v>402</v>
      </c>
      <c r="M70" s="1" t="s">
        <v>425</v>
      </c>
      <c r="N70" s="1" t="s">
        <v>224</v>
      </c>
      <c r="O70" s="1" t="s">
        <v>409</v>
      </c>
      <c r="P70" s="1"/>
      <c r="Q70" s="1"/>
      <c r="R70" s="1" t="s">
        <v>433</v>
      </c>
      <c r="S70" s="6" t="s">
        <v>2042</v>
      </c>
      <c r="T70" s="6" t="s">
        <v>2043</v>
      </c>
      <c r="U70" s="6" t="s">
        <v>2044</v>
      </c>
      <c r="V70" s="6" t="s">
        <v>2045</v>
      </c>
      <c r="W70" s="15" t="s">
        <v>562</v>
      </c>
      <c r="X70" s="6" t="s">
        <v>2046</v>
      </c>
      <c r="Y70" s="6"/>
      <c r="Z70" s="1">
        <v>4</v>
      </c>
      <c r="AA70" s="1">
        <v>3</v>
      </c>
      <c r="AB70" s="1" t="s">
        <v>566</v>
      </c>
      <c r="AC70" s="1" t="s">
        <v>578</v>
      </c>
      <c r="AD70" s="1" t="s">
        <v>573</v>
      </c>
      <c r="AE70" s="1" t="s">
        <v>225</v>
      </c>
      <c r="AF70" s="6"/>
      <c r="AG70" s="6" t="s">
        <v>726</v>
      </c>
      <c r="AH70" s="6" t="s">
        <v>727</v>
      </c>
      <c r="AI70" s="6"/>
      <c r="AJ70" s="20"/>
      <c r="AK70" s="23" cm="1">
        <f t="array" ref="AK70">_xlfn.IFS(AC70="Principles observation",1, AC70="Concept formulation",2, AC70="Proof-of-concept simulation", 3, AC70="Core function validation", 4, AC70="Integration component testing", 5, AC70="Component validation in relevant environment", 6, AC70="Subsystem demonstration in relevant environment", 7, AC70="System demonstration in operational environment", 8, AC70="Production qualification", 9, AC70="Mission-proven operations", 10)</f>
        <v>4</v>
      </c>
      <c r="AL70" s="23" cm="1">
        <f t="array" ref="AL70">_xlfn.IFS(AD70="Assistive GenAI", 1, AD70="GenAI-led with human oversight", 2, AD70="Autonomous process learning", 3)</f>
        <v>1</v>
      </c>
      <c r="AM70" s="20"/>
      <c r="AN70" s="20"/>
      <c r="AO70" s="20"/>
      <c r="AP70" s="20"/>
      <c r="AQ70" s="20"/>
      <c r="AR70" s="20"/>
      <c r="AS70" s="20"/>
      <c r="AT70" s="20"/>
      <c r="AU70" s="20"/>
      <c r="AV70" s="20"/>
      <c r="AW70" s="20"/>
      <c r="AX70" s="20"/>
      <c r="AY70" s="20"/>
      <c r="AZ70" s="20"/>
      <c r="BA70" s="20"/>
      <c r="BB70" s="20"/>
      <c r="BC70" s="20"/>
      <c r="BD70" s="20"/>
      <c r="BE70" s="20"/>
      <c r="BF70" s="20"/>
      <c r="BG70" s="20"/>
      <c r="BH70" s="20"/>
      <c r="BI70" s="20"/>
      <c r="BJ70" s="20"/>
      <c r="BK70" s="20"/>
      <c r="BL70" s="20"/>
      <c r="BM70" s="20"/>
      <c r="BN70" s="20"/>
      <c r="BO70" s="20"/>
      <c r="BP70" s="20"/>
      <c r="BQ70" s="20"/>
      <c r="BR70" s="20"/>
      <c r="BS70" s="20"/>
      <c r="BT70" s="20"/>
      <c r="BU70" s="20"/>
      <c r="BV70" s="20"/>
      <c r="BW70" s="20"/>
      <c r="BX70" s="20"/>
      <c r="BY70" s="20"/>
      <c r="BZ70" s="20"/>
      <c r="CA70" s="20"/>
      <c r="CB70" s="20"/>
      <c r="CC70" s="20"/>
      <c r="CD70" s="20"/>
      <c r="CE70" s="20"/>
      <c r="CF70" s="20"/>
      <c r="CG70" s="20"/>
      <c r="CH70" s="20"/>
      <c r="CI70" s="20"/>
      <c r="CJ70" s="20"/>
      <c r="CK70" s="20"/>
      <c r="CL70" s="20"/>
      <c r="CM70" s="20"/>
      <c r="CN70" s="20"/>
      <c r="CO70" s="20"/>
      <c r="CP70" s="20"/>
      <c r="CQ70" s="20"/>
      <c r="CR70" s="20"/>
      <c r="CS70" s="20"/>
      <c r="CT70" s="20"/>
      <c r="CU70" s="20"/>
      <c r="CV70" s="20"/>
      <c r="CW70" s="20"/>
      <c r="CX70" s="20"/>
      <c r="CY70" s="20"/>
      <c r="CZ70" s="20"/>
      <c r="DA70" s="20"/>
      <c r="DB70" s="20"/>
      <c r="DC70" s="20"/>
      <c r="DD70" s="20"/>
      <c r="DE70" s="20"/>
      <c r="DF70" s="20"/>
      <c r="DG70" s="20"/>
      <c r="DH70" s="20"/>
      <c r="DI70" s="20"/>
      <c r="DJ70" s="20"/>
      <c r="DK70" s="20"/>
      <c r="DL70" s="20"/>
      <c r="DM70" s="20"/>
      <c r="DN70" s="20"/>
      <c r="DO70" s="20"/>
      <c r="DP70" s="20"/>
      <c r="DQ70" s="20"/>
      <c r="DR70" s="20"/>
      <c r="DS70" s="20"/>
      <c r="DT70" s="20"/>
      <c r="DU70" s="20"/>
      <c r="DV70" s="20"/>
      <c r="DW70" s="20"/>
      <c r="DX70" s="20"/>
      <c r="DY70" s="20"/>
      <c r="DZ70" s="20"/>
      <c r="EA70" s="20"/>
      <c r="EB70" s="20"/>
      <c r="EC70" s="20"/>
      <c r="ED70" s="20"/>
      <c r="EE70" s="20"/>
      <c r="EF70" s="20"/>
      <c r="EG70" s="20"/>
      <c r="EH70" s="20"/>
      <c r="EI70" s="20"/>
      <c r="EJ70" s="20"/>
      <c r="EK70" s="20"/>
      <c r="EL70" s="20"/>
      <c r="EM70" s="20"/>
      <c r="EN70" s="20"/>
      <c r="EO70" s="20"/>
      <c r="EP70" s="20"/>
      <c r="EQ70" s="20"/>
      <c r="ER70" s="20"/>
      <c r="ES70" s="20"/>
      <c r="ET70" s="20"/>
      <c r="EU70" s="20"/>
      <c r="EV70" s="20"/>
      <c r="EW70" s="20"/>
      <c r="EX70" s="20"/>
      <c r="EY70" s="20"/>
      <c r="EZ70" s="20"/>
      <c r="FA70" s="20"/>
      <c r="FB70" s="20"/>
      <c r="FC70" s="20"/>
      <c r="FD70" s="20"/>
      <c r="FE70" s="20"/>
      <c r="FF70" s="20"/>
      <c r="FG70" s="20"/>
      <c r="FH70" s="20"/>
      <c r="FI70" s="20"/>
      <c r="FJ70" s="20"/>
      <c r="FK70" s="20"/>
      <c r="FL70" s="20"/>
      <c r="FM70" s="20"/>
      <c r="FN70" s="20"/>
      <c r="FO70" s="20"/>
      <c r="FP70" s="20"/>
      <c r="FQ70" s="20"/>
      <c r="FR70" s="20"/>
      <c r="FS70" s="20"/>
      <c r="FT70" s="20"/>
      <c r="FU70" s="20"/>
      <c r="FV70" s="20"/>
      <c r="FW70" s="20"/>
      <c r="FX70" s="20"/>
      <c r="FY70" s="20"/>
      <c r="FZ70" s="20"/>
      <c r="GA70" s="20"/>
      <c r="GB70" s="20"/>
      <c r="GC70" s="20"/>
      <c r="GD70" s="20"/>
      <c r="GE70" s="20"/>
      <c r="GF70" s="20"/>
      <c r="GG70" s="20"/>
      <c r="GH70" s="20"/>
      <c r="GI70" s="20"/>
      <c r="GJ70" s="20"/>
      <c r="GK70" s="20"/>
      <c r="GL70" s="20"/>
      <c r="GM70" s="20"/>
      <c r="GN70" s="20"/>
      <c r="GO70" s="20"/>
      <c r="GP70" s="20"/>
      <c r="GQ70" s="20"/>
      <c r="GR70" s="20"/>
      <c r="GS70" s="20"/>
      <c r="GT70" s="20"/>
      <c r="GU70" s="20"/>
      <c r="GV70" s="20"/>
      <c r="GW70" s="20"/>
      <c r="GX70" s="20"/>
      <c r="GY70" s="20"/>
      <c r="GZ70" s="20"/>
      <c r="HA70" s="20"/>
      <c r="HB70" s="20"/>
      <c r="HC70" s="20"/>
      <c r="HD70" s="20"/>
      <c r="HE70" s="20"/>
      <c r="HF70" s="20"/>
      <c r="HG70" s="20"/>
      <c r="HH70" s="20"/>
      <c r="HI70" s="20"/>
      <c r="HJ70" s="20"/>
      <c r="HK70" s="20"/>
      <c r="HL70" s="20"/>
      <c r="HM70" s="20"/>
    </row>
    <row r="71" spans="1:221" s="11" customFormat="1" ht="55.95" customHeight="1" x14ac:dyDescent="0.3">
      <c r="A71" s="1">
        <v>78</v>
      </c>
      <c r="B71" s="6" t="s">
        <v>52</v>
      </c>
      <c r="C71" s="10" t="s">
        <v>316</v>
      </c>
      <c r="D71" s="7">
        <v>2025</v>
      </c>
      <c r="E71" s="13" t="s">
        <v>57</v>
      </c>
      <c r="F71" s="7">
        <v>0</v>
      </c>
      <c r="G71" s="1" t="str">
        <f t="shared" si="6"/>
        <v>Dimitropoulos N.</v>
      </c>
      <c r="H71" s="15" t="s">
        <v>353</v>
      </c>
      <c r="I71" s="15" t="s">
        <v>124</v>
      </c>
      <c r="J71" s="1" t="str">
        <f t="shared" si="5"/>
        <v>ENG</v>
      </c>
      <c r="K71" s="1" t="s">
        <v>222</v>
      </c>
      <c r="L71" s="1" t="s">
        <v>402</v>
      </c>
      <c r="M71" s="1" t="s">
        <v>425</v>
      </c>
      <c r="N71" s="1" t="s">
        <v>383</v>
      </c>
      <c r="O71" s="1" t="s">
        <v>484</v>
      </c>
      <c r="P71" s="1"/>
      <c r="Q71" s="1"/>
      <c r="R71" s="1" t="s">
        <v>532</v>
      </c>
      <c r="S71" s="6" t="s">
        <v>2047</v>
      </c>
      <c r="T71" s="6" t="s">
        <v>2048</v>
      </c>
      <c r="U71" s="6" t="s">
        <v>2049</v>
      </c>
      <c r="V71" s="6" t="s">
        <v>2050</v>
      </c>
      <c r="W71" s="15" t="s">
        <v>563</v>
      </c>
      <c r="X71" s="6" t="s">
        <v>2051</v>
      </c>
      <c r="Y71" s="6"/>
      <c r="Z71" s="1">
        <v>4</v>
      </c>
      <c r="AA71" s="1">
        <v>3</v>
      </c>
      <c r="AB71" s="7" t="s">
        <v>566</v>
      </c>
      <c r="AC71" s="1" t="s">
        <v>590</v>
      </c>
      <c r="AD71" s="1" t="s">
        <v>574</v>
      </c>
      <c r="AE71" s="1" t="s">
        <v>225</v>
      </c>
      <c r="AF71" s="6"/>
      <c r="AG71" s="6" t="s">
        <v>728</v>
      </c>
      <c r="AH71" s="6" t="s">
        <v>729</v>
      </c>
      <c r="AI71" s="6"/>
      <c r="AJ71" s="20"/>
      <c r="AK71" s="23" cm="1">
        <f t="array" ref="AK71">_xlfn.IFS(AC71="Principles observation",1, AC71="Concept formulation",2, AC71="Proof-of-concept simulation", 3, AC71="Core function validation", 4, AC71="Integration component testing", 5, AC71="Component validation in relevant environment", 6, AC71="Subsystem demonstration in relevant environment", 7, AC71="System demonstration in operational environment", 8, AC71="Production qualification", 9, AC71="Mission-proven operations", 10)</f>
        <v>5</v>
      </c>
      <c r="AL71" s="23" cm="1">
        <f t="array" ref="AL71">_xlfn.IFS(AD71="Assistive GenAI", 1, AD71="GenAI-led with human oversight", 2, AD71="Autonomous process learning", 3)</f>
        <v>2</v>
      </c>
      <c r="AM71" s="20"/>
      <c r="AN71" s="20"/>
      <c r="AO71" s="20"/>
      <c r="AP71" s="20"/>
      <c r="AQ71" s="20"/>
      <c r="AR71" s="20"/>
      <c r="AS71" s="20"/>
      <c r="AT71" s="20"/>
      <c r="AU71" s="20"/>
      <c r="AV71" s="20"/>
      <c r="AW71" s="20"/>
      <c r="AX71" s="20"/>
      <c r="AY71" s="20"/>
      <c r="AZ71" s="20"/>
      <c r="BA71" s="20"/>
      <c r="BB71" s="20"/>
      <c r="BC71" s="20"/>
      <c r="BD71" s="20"/>
      <c r="BE71" s="20"/>
      <c r="BF71" s="20"/>
      <c r="BG71" s="20"/>
      <c r="BH71" s="20"/>
      <c r="BI71" s="20"/>
      <c r="BJ71" s="20"/>
      <c r="BK71" s="20"/>
      <c r="BL71" s="20"/>
      <c r="BM71" s="20"/>
      <c r="BN71" s="20"/>
      <c r="BO71" s="20"/>
      <c r="BP71" s="20"/>
      <c r="BQ71" s="20"/>
      <c r="BR71" s="20"/>
      <c r="BS71" s="20"/>
      <c r="BT71" s="20"/>
      <c r="BU71" s="20"/>
      <c r="BV71" s="20"/>
      <c r="BW71" s="20"/>
      <c r="BX71" s="20"/>
      <c r="BY71" s="20"/>
      <c r="BZ71" s="20"/>
      <c r="CA71" s="20"/>
      <c r="CB71" s="20"/>
      <c r="CC71" s="20"/>
      <c r="CD71" s="20"/>
      <c r="CE71" s="20"/>
      <c r="CF71" s="20"/>
      <c r="CG71" s="20"/>
      <c r="CH71" s="20"/>
      <c r="CI71" s="20"/>
      <c r="CJ71" s="20"/>
      <c r="CK71" s="20"/>
      <c r="CL71" s="20"/>
      <c r="CM71" s="20"/>
      <c r="CN71" s="20"/>
      <c r="CO71" s="20"/>
      <c r="CP71" s="20"/>
      <c r="CQ71" s="20"/>
      <c r="CR71" s="20"/>
      <c r="CS71" s="20"/>
      <c r="CT71" s="20"/>
      <c r="CU71" s="20"/>
      <c r="CV71" s="20"/>
      <c r="CW71" s="20"/>
      <c r="CX71" s="20"/>
      <c r="CY71" s="20"/>
      <c r="CZ71" s="20"/>
      <c r="DA71" s="20"/>
      <c r="DB71" s="20"/>
      <c r="DC71" s="20"/>
      <c r="DD71" s="20"/>
      <c r="DE71" s="20"/>
      <c r="DF71" s="20"/>
      <c r="DG71" s="20"/>
      <c r="DH71" s="20"/>
      <c r="DI71" s="20"/>
      <c r="DJ71" s="20"/>
      <c r="DK71" s="20"/>
      <c r="DL71" s="20"/>
      <c r="DM71" s="20"/>
      <c r="DN71" s="20"/>
      <c r="DO71" s="20"/>
      <c r="DP71" s="20"/>
      <c r="DQ71" s="20"/>
      <c r="DR71" s="20"/>
      <c r="DS71" s="20"/>
      <c r="DT71" s="20"/>
      <c r="DU71" s="20"/>
      <c r="DV71" s="20"/>
      <c r="DW71" s="20"/>
      <c r="DX71" s="20"/>
      <c r="DY71" s="20"/>
      <c r="DZ71" s="20"/>
      <c r="EA71" s="20"/>
      <c r="EB71" s="20"/>
      <c r="EC71" s="20"/>
      <c r="ED71" s="20"/>
      <c r="EE71" s="20"/>
      <c r="EF71" s="20"/>
      <c r="EG71" s="20"/>
      <c r="EH71" s="20"/>
      <c r="EI71" s="20"/>
      <c r="EJ71" s="20"/>
      <c r="EK71" s="20"/>
      <c r="EL71" s="20"/>
      <c r="EM71" s="20"/>
      <c r="EN71" s="20"/>
      <c r="EO71" s="20"/>
      <c r="EP71" s="20"/>
      <c r="EQ71" s="20"/>
      <c r="ER71" s="20"/>
      <c r="ES71" s="20"/>
      <c r="ET71" s="20"/>
      <c r="EU71" s="20"/>
      <c r="EV71" s="20"/>
      <c r="EW71" s="20"/>
      <c r="EX71" s="20"/>
      <c r="EY71" s="20"/>
      <c r="EZ71" s="20"/>
      <c r="FA71" s="20"/>
      <c r="FB71" s="20"/>
      <c r="FC71" s="20"/>
      <c r="FD71" s="20"/>
      <c r="FE71" s="20"/>
      <c r="FF71" s="20"/>
      <c r="FG71" s="20"/>
      <c r="FH71" s="20"/>
      <c r="FI71" s="20"/>
      <c r="FJ71" s="20"/>
      <c r="FK71" s="20"/>
      <c r="FL71" s="20"/>
      <c r="FM71" s="20"/>
      <c r="FN71" s="20"/>
      <c r="FO71" s="20"/>
      <c r="FP71" s="20"/>
      <c r="FQ71" s="20"/>
      <c r="FR71" s="20"/>
      <c r="FS71" s="20"/>
      <c r="FT71" s="20"/>
      <c r="FU71" s="20"/>
      <c r="FV71" s="20"/>
      <c r="FW71" s="20"/>
      <c r="FX71" s="20"/>
      <c r="FY71" s="20"/>
      <c r="FZ71" s="20"/>
      <c r="GA71" s="20"/>
      <c r="GB71" s="20"/>
      <c r="GC71" s="20"/>
      <c r="GD71" s="20"/>
      <c r="GE71" s="20"/>
      <c r="GF71" s="20"/>
      <c r="GG71" s="20"/>
      <c r="GH71" s="20"/>
      <c r="GI71" s="20"/>
      <c r="GJ71" s="20"/>
      <c r="GK71" s="20"/>
      <c r="GL71" s="20"/>
      <c r="GM71" s="20"/>
      <c r="GN71" s="20"/>
      <c r="GO71" s="20"/>
      <c r="GP71" s="20"/>
      <c r="GQ71" s="20"/>
      <c r="GR71" s="20"/>
      <c r="GS71" s="20"/>
      <c r="GT71" s="20"/>
      <c r="GU71" s="20"/>
      <c r="GV71" s="20"/>
      <c r="GW71" s="20"/>
      <c r="GX71" s="20"/>
      <c r="GY71" s="20"/>
      <c r="GZ71" s="20"/>
      <c r="HA71" s="20"/>
      <c r="HB71" s="20"/>
      <c r="HC71" s="20"/>
      <c r="HD71" s="20"/>
      <c r="HE71" s="20"/>
      <c r="HF71" s="20"/>
      <c r="HG71" s="20"/>
      <c r="HH71" s="20"/>
      <c r="HI71" s="20"/>
      <c r="HJ71" s="20"/>
      <c r="HK71" s="20"/>
      <c r="HL71" s="20"/>
      <c r="HM71" s="20"/>
    </row>
    <row r="72" spans="1:221" s="11" customFormat="1" ht="55.95" customHeight="1" x14ac:dyDescent="0.3">
      <c r="A72" s="32">
        <v>80</v>
      </c>
      <c r="B72" s="6" t="s">
        <v>1049</v>
      </c>
      <c r="C72" s="10" t="s">
        <v>1092</v>
      </c>
      <c r="D72" s="7">
        <v>2026</v>
      </c>
      <c r="E72" s="13" t="s">
        <v>1135</v>
      </c>
      <c r="F72" s="7">
        <v>0</v>
      </c>
      <c r="G72" s="1" t="str">
        <f t="shared" si="6"/>
        <v>Zhao, L.</v>
      </c>
      <c r="H72" s="15" t="s">
        <v>1154</v>
      </c>
      <c r="I72" s="15"/>
      <c r="J72" s="1" t="s">
        <v>228</v>
      </c>
      <c r="K72" s="1" t="s">
        <v>222</v>
      </c>
      <c r="L72" s="1" t="s">
        <v>402</v>
      </c>
      <c r="M72" s="1" t="s">
        <v>425</v>
      </c>
      <c r="N72" s="1" t="s">
        <v>383</v>
      </c>
      <c r="O72" s="1" t="s">
        <v>1468</v>
      </c>
      <c r="P72" s="1"/>
      <c r="Q72" s="1"/>
      <c r="R72" s="1" t="s">
        <v>483</v>
      </c>
      <c r="S72" s="6" t="s">
        <v>2052</v>
      </c>
      <c r="T72" s="6" t="s">
        <v>2053</v>
      </c>
      <c r="U72" s="6" t="s">
        <v>2054</v>
      </c>
      <c r="V72" s="6" t="s">
        <v>2055</v>
      </c>
      <c r="W72" s="15"/>
      <c r="X72" s="6" t="s">
        <v>2056</v>
      </c>
      <c r="Y72" s="6"/>
      <c r="Z72" s="1">
        <v>5</v>
      </c>
      <c r="AA72" s="1">
        <v>5</v>
      </c>
      <c r="AB72" s="1" t="s">
        <v>566</v>
      </c>
      <c r="AC72" s="1" t="s">
        <v>578</v>
      </c>
      <c r="AD72" s="1" t="s">
        <v>573</v>
      </c>
      <c r="AE72" s="1" t="s">
        <v>225</v>
      </c>
      <c r="AF72" s="6"/>
      <c r="AG72" s="6" t="s">
        <v>1466</v>
      </c>
      <c r="AH72" s="6" t="s">
        <v>1467</v>
      </c>
      <c r="AI72" s="6"/>
      <c r="AJ72" s="20"/>
      <c r="AK72" s="23" cm="1">
        <f t="array" ref="AK72">_xlfn.IFS(AC72="Principles observation",1, AC72="Concept formulation",2, AC72="Proof-of-concept simulation", 3, AC72="Core function validation", 4, AC72="Integration component testing", 5, AC72="Component validation in relevant environment", 6, AC72="Subsystem demonstration in relevant environment", 7, AC72="System demonstration in operational environment", 8, AC72="Production qualification", 9, AC72="Mission-proven operations", 10)</f>
        <v>4</v>
      </c>
      <c r="AL72" s="23" cm="1">
        <f t="array" ref="AL72">_xlfn.IFS(AD72="Assistive GenAI", 1, AD72="GenAI-led with human oversight", 2, AD72="Autonomous process learning", 3)</f>
        <v>1</v>
      </c>
      <c r="AM72" s="20"/>
      <c r="AN72" s="20"/>
      <c r="AO72" s="20"/>
      <c r="AP72" s="20"/>
      <c r="AQ72" s="20"/>
      <c r="AR72" s="20"/>
      <c r="AS72" s="20"/>
      <c r="AT72" s="20"/>
      <c r="AU72" s="20"/>
      <c r="AV72" s="20"/>
      <c r="AW72" s="20"/>
      <c r="AX72" s="20"/>
      <c r="AY72" s="20"/>
      <c r="AZ72" s="20"/>
      <c r="BA72" s="20"/>
      <c r="BB72" s="20"/>
      <c r="BC72" s="20"/>
      <c r="BD72" s="20"/>
      <c r="BE72" s="20"/>
      <c r="BF72" s="20"/>
      <c r="BG72" s="20"/>
      <c r="BH72" s="20"/>
      <c r="BI72" s="20"/>
      <c r="BJ72" s="20"/>
      <c r="BK72" s="20"/>
      <c r="BL72" s="20"/>
      <c r="BM72" s="20"/>
      <c r="BN72" s="20"/>
      <c r="BO72" s="20"/>
      <c r="BP72" s="20"/>
      <c r="BQ72" s="20"/>
      <c r="BR72" s="20"/>
      <c r="BS72" s="20"/>
      <c r="BT72" s="20"/>
      <c r="BU72" s="20"/>
      <c r="BV72" s="20"/>
      <c r="BW72" s="20"/>
      <c r="BX72" s="20"/>
      <c r="BY72" s="20"/>
      <c r="BZ72" s="20"/>
      <c r="CA72" s="20"/>
      <c r="CB72" s="20"/>
      <c r="CC72" s="20"/>
      <c r="CD72" s="20"/>
      <c r="CE72" s="20"/>
      <c r="CF72" s="20"/>
      <c r="CG72" s="20"/>
      <c r="CH72" s="20"/>
      <c r="CI72" s="20"/>
      <c r="CJ72" s="20"/>
      <c r="CK72" s="20"/>
      <c r="CL72" s="20"/>
      <c r="CM72" s="20"/>
      <c r="CN72" s="20"/>
      <c r="CO72" s="20"/>
      <c r="CP72" s="20"/>
      <c r="CQ72" s="20"/>
      <c r="CR72" s="20"/>
      <c r="CS72" s="20"/>
      <c r="CT72" s="20"/>
      <c r="CU72" s="20"/>
      <c r="CV72" s="20"/>
      <c r="CW72" s="20"/>
      <c r="CX72" s="20"/>
      <c r="CY72" s="20"/>
      <c r="CZ72" s="20"/>
      <c r="DA72" s="20"/>
      <c r="DB72" s="20"/>
      <c r="DC72" s="20"/>
      <c r="DD72" s="20"/>
      <c r="DE72" s="20"/>
      <c r="DF72" s="20"/>
      <c r="DG72" s="20"/>
      <c r="DH72" s="20"/>
      <c r="DI72" s="20"/>
      <c r="DJ72" s="20"/>
      <c r="DK72" s="20"/>
      <c r="DL72" s="20"/>
      <c r="DM72" s="20"/>
      <c r="DN72" s="20"/>
      <c r="DO72" s="20"/>
      <c r="DP72" s="20"/>
      <c r="DQ72" s="20"/>
      <c r="DR72" s="20"/>
      <c r="DS72" s="20"/>
      <c r="DT72" s="20"/>
      <c r="DU72" s="20"/>
      <c r="DV72" s="20"/>
      <c r="DW72" s="20"/>
      <c r="DX72" s="20"/>
      <c r="DY72" s="20"/>
      <c r="DZ72" s="20"/>
      <c r="EA72" s="20"/>
      <c r="EB72" s="20"/>
      <c r="EC72" s="20"/>
      <c r="ED72" s="20"/>
      <c r="EE72" s="20"/>
      <c r="EF72" s="20"/>
      <c r="EG72" s="20"/>
      <c r="EH72" s="20"/>
      <c r="EI72" s="20"/>
      <c r="EJ72" s="20"/>
      <c r="EK72" s="20"/>
      <c r="EL72" s="20"/>
      <c r="EM72" s="20"/>
      <c r="EN72" s="20"/>
      <c r="EO72" s="20"/>
      <c r="EP72" s="20"/>
      <c r="EQ72" s="20"/>
      <c r="ER72" s="20"/>
      <c r="ES72" s="20"/>
      <c r="ET72" s="20"/>
      <c r="EU72" s="20"/>
      <c r="EV72" s="20"/>
      <c r="EW72" s="20"/>
      <c r="EX72" s="20"/>
      <c r="EY72" s="20"/>
      <c r="EZ72" s="20"/>
      <c r="FA72" s="20"/>
      <c r="FB72" s="20"/>
      <c r="FC72" s="20"/>
      <c r="FD72" s="20"/>
      <c r="FE72" s="20"/>
      <c r="FF72" s="20"/>
      <c r="FG72" s="20"/>
      <c r="FH72" s="20"/>
      <c r="FI72" s="20"/>
      <c r="FJ72" s="20"/>
      <c r="FK72" s="20"/>
      <c r="FL72" s="20"/>
      <c r="FM72" s="20"/>
      <c r="FN72" s="20"/>
      <c r="FO72" s="20"/>
      <c r="FP72" s="20"/>
      <c r="FQ72" s="20"/>
      <c r="FR72" s="20"/>
      <c r="FS72" s="20"/>
      <c r="FT72" s="20"/>
      <c r="FU72" s="20"/>
      <c r="FV72" s="20"/>
      <c r="FW72" s="20"/>
      <c r="FX72" s="20"/>
      <c r="FY72" s="20"/>
      <c r="FZ72" s="20"/>
      <c r="GA72" s="20"/>
      <c r="GB72" s="20"/>
      <c r="GC72" s="20"/>
      <c r="GD72" s="20"/>
      <c r="GE72" s="20"/>
      <c r="GF72" s="20"/>
      <c r="GG72" s="20"/>
      <c r="GH72" s="20"/>
      <c r="GI72" s="20"/>
      <c r="GJ72" s="20"/>
      <c r="GK72" s="20"/>
      <c r="GL72" s="20"/>
      <c r="GM72" s="20"/>
      <c r="GN72" s="20"/>
      <c r="GO72" s="20"/>
      <c r="GP72" s="20"/>
      <c r="GQ72" s="20"/>
      <c r="GR72" s="20"/>
      <c r="GS72" s="20"/>
      <c r="GT72" s="20"/>
      <c r="GU72" s="20"/>
      <c r="GV72" s="20"/>
      <c r="GW72" s="20"/>
      <c r="GX72" s="20"/>
      <c r="GY72" s="20"/>
      <c r="GZ72" s="20"/>
      <c r="HA72" s="20"/>
      <c r="HB72" s="20"/>
      <c r="HC72" s="20"/>
      <c r="HD72" s="20"/>
      <c r="HE72" s="20"/>
      <c r="HF72" s="20"/>
      <c r="HG72" s="20"/>
      <c r="HH72" s="20"/>
      <c r="HI72" s="20"/>
      <c r="HJ72" s="20"/>
      <c r="HK72" s="20"/>
      <c r="HL72" s="20"/>
      <c r="HM72" s="20"/>
    </row>
    <row r="73" spans="1:221" s="11" customFormat="1" ht="55.95" customHeight="1" x14ac:dyDescent="0.3">
      <c r="A73" s="32">
        <v>81</v>
      </c>
      <c r="B73" s="6" t="s">
        <v>1050</v>
      </c>
      <c r="C73" s="10" t="s">
        <v>1093</v>
      </c>
      <c r="D73" s="7">
        <v>2026</v>
      </c>
      <c r="E73" s="13" t="s">
        <v>62</v>
      </c>
      <c r="F73" s="7">
        <v>0</v>
      </c>
      <c r="G73" s="1" t="str">
        <f t="shared" si="6"/>
        <v>Li, L.</v>
      </c>
      <c r="H73" s="15" t="s">
        <v>1142</v>
      </c>
      <c r="I73" s="15" t="s">
        <v>1180</v>
      </c>
      <c r="J73" s="1" t="s">
        <v>228</v>
      </c>
      <c r="K73" s="1" t="s">
        <v>222</v>
      </c>
      <c r="L73" s="1" t="s">
        <v>402</v>
      </c>
      <c r="M73" s="1" t="s">
        <v>425</v>
      </c>
      <c r="N73" s="1" t="s">
        <v>383</v>
      </c>
      <c r="O73" s="1" t="s">
        <v>494</v>
      </c>
      <c r="P73" s="1"/>
      <c r="Q73" s="1"/>
      <c r="R73" s="1" t="s">
        <v>423</v>
      </c>
      <c r="S73" s="6" t="s">
        <v>2057</v>
      </c>
      <c r="T73" s="6" t="s">
        <v>2058</v>
      </c>
      <c r="U73" s="6"/>
      <c r="V73" s="6" t="s">
        <v>1469</v>
      </c>
      <c r="W73" s="15"/>
      <c r="X73" s="6" t="s">
        <v>2059</v>
      </c>
      <c r="Y73" s="6"/>
      <c r="Z73" s="1">
        <v>5</v>
      </c>
      <c r="AA73" s="1">
        <v>3</v>
      </c>
      <c r="AB73" s="7" t="s">
        <v>566</v>
      </c>
      <c r="AC73" s="1" t="s">
        <v>590</v>
      </c>
      <c r="AD73" s="1" t="s">
        <v>574</v>
      </c>
      <c r="AE73" s="1" t="s">
        <v>225</v>
      </c>
      <c r="AF73" s="6"/>
      <c r="AG73" s="6" t="s">
        <v>1471</v>
      </c>
      <c r="AH73" s="6" t="s">
        <v>1470</v>
      </c>
      <c r="AI73" s="6"/>
      <c r="AJ73" s="20"/>
      <c r="AK73" s="23" cm="1">
        <f t="array" ref="AK73">_xlfn.IFS(AC73="Principles observation",1, AC73="Concept formulation",2, AC73="Proof-of-concept simulation", 3, AC73="Core function validation", 4, AC73="Integration component testing", 5, AC73="Component validation in relevant environment", 6, AC73="Subsystem demonstration in relevant environment", 7, AC73="System demonstration in operational environment", 8, AC73="Production qualification", 9, AC73="Mission-proven operations", 10)</f>
        <v>5</v>
      </c>
      <c r="AL73" s="23" cm="1">
        <f t="array" ref="AL73">_xlfn.IFS(AD73="Assistive GenAI", 1, AD73="GenAI-led with human oversight", 2, AD73="Autonomous process learning", 3)</f>
        <v>2</v>
      </c>
      <c r="AM73" s="20"/>
      <c r="AN73" s="20"/>
      <c r="AO73" s="20"/>
      <c r="AP73" s="20"/>
      <c r="AQ73" s="20"/>
      <c r="AR73" s="20"/>
      <c r="AS73" s="20"/>
      <c r="AT73" s="20"/>
      <c r="AU73" s="20"/>
      <c r="AV73" s="20"/>
      <c r="AW73" s="20"/>
      <c r="AX73" s="20"/>
      <c r="AY73" s="20"/>
      <c r="AZ73" s="20"/>
      <c r="BA73" s="20"/>
      <c r="BB73" s="20"/>
      <c r="BC73" s="20"/>
      <c r="BD73" s="20"/>
      <c r="BE73" s="20"/>
      <c r="BF73" s="20"/>
      <c r="BG73" s="20"/>
      <c r="BH73" s="20"/>
      <c r="BI73" s="20"/>
      <c r="BJ73" s="20"/>
      <c r="BK73" s="20"/>
      <c r="BL73" s="20"/>
      <c r="BM73" s="20"/>
      <c r="BN73" s="20"/>
      <c r="BO73" s="20"/>
      <c r="BP73" s="20"/>
      <c r="BQ73" s="20"/>
      <c r="BR73" s="20"/>
      <c r="BS73" s="20"/>
      <c r="BT73" s="20"/>
      <c r="BU73" s="20"/>
      <c r="BV73" s="20"/>
      <c r="BW73" s="20"/>
      <c r="BX73" s="20"/>
      <c r="BY73" s="20"/>
      <c r="BZ73" s="20"/>
      <c r="CA73" s="20"/>
      <c r="CB73" s="20"/>
      <c r="CC73" s="20"/>
      <c r="CD73" s="20"/>
      <c r="CE73" s="20"/>
      <c r="CF73" s="20"/>
      <c r="CG73" s="20"/>
      <c r="CH73" s="20"/>
      <c r="CI73" s="20"/>
      <c r="CJ73" s="20"/>
      <c r="CK73" s="20"/>
      <c r="CL73" s="20"/>
      <c r="CM73" s="20"/>
      <c r="CN73" s="20"/>
      <c r="CO73" s="20"/>
      <c r="CP73" s="20"/>
      <c r="CQ73" s="20"/>
      <c r="CR73" s="20"/>
      <c r="CS73" s="20"/>
      <c r="CT73" s="20"/>
      <c r="CU73" s="20"/>
      <c r="CV73" s="20"/>
      <c r="CW73" s="20"/>
      <c r="CX73" s="20"/>
      <c r="CY73" s="20"/>
      <c r="CZ73" s="20"/>
      <c r="DA73" s="20"/>
      <c r="DB73" s="20"/>
      <c r="DC73" s="20"/>
      <c r="DD73" s="20"/>
      <c r="DE73" s="20"/>
      <c r="DF73" s="20"/>
      <c r="DG73" s="20"/>
      <c r="DH73" s="20"/>
      <c r="DI73" s="20"/>
      <c r="DJ73" s="20"/>
      <c r="DK73" s="20"/>
      <c r="DL73" s="20"/>
      <c r="DM73" s="20"/>
      <c r="DN73" s="20"/>
      <c r="DO73" s="20"/>
      <c r="DP73" s="20"/>
      <c r="DQ73" s="20"/>
      <c r="DR73" s="20"/>
      <c r="DS73" s="20"/>
      <c r="DT73" s="20"/>
      <c r="DU73" s="20"/>
      <c r="DV73" s="20"/>
      <c r="DW73" s="20"/>
      <c r="DX73" s="20"/>
      <c r="DY73" s="20"/>
      <c r="DZ73" s="20"/>
      <c r="EA73" s="20"/>
      <c r="EB73" s="20"/>
      <c r="EC73" s="20"/>
      <c r="ED73" s="20"/>
      <c r="EE73" s="20"/>
      <c r="EF73" s="20"/>
      <c r="EG73" s="20"/>
      <c r="EH73" s="20"/>
      <c r="EI73" s="20"/>
      <c r="EJ73" s="20"/>
      <c r="EK73" s="20"/>
      <c r="EL73" s="20"/>
      <c r="EM73" s="20"/>
      <c r="EN73" s="20"/>
      <c r="EO73" s="20"/>
      <c r="EP73" s="20"/>
      <c r="EQ73" s="20"/>
      <c r="ER73" s="20"/>
      <c r="ES73" s="20"/>
      <c r="ET73" s="20"/>
      <c r="EU73" s="20"/>
      <c r="EV73" s="20"/>
      <c r="EW73" s="20"/>
      <c r="EX73" s="20"/>
      <c r="EY73" s="20"/>
      <c r="EZ73" s="20"/>
      <c r="FA73" s="20"/>
      <c r="FB73" s="20"/>
      <c r="FC73" s="20"/>
      <c r="FD73" s="20"/>
      <c r="FE73" s="20"/>
      <c r="FF73" s="20"/>
      <c r="FG73" s="20"/>
      <c r="FH73" s="20"/>
      <c r="FI73" s="20"/>
      <c r="FJ73" s="20"/>
      <c r="FK73" s="20"/>
      <c r="FL73" s="20"/>
      <c r="FM73" s="20"/>
      <c r="FN73" s="20"/>
      <c r="FO73" s="20"/>
      <c r="FP73" s="20"/>
      <c r="FQ73" s="20"/>
      <c r="FR73" s="20"/>
      <c r="FS73" s="20"/>
      <c r="FT73" s="20"/>
      <c r="FU73" s="20"/>
      <c r="FV73" s="20"/>
      <c r="FW73" s="20"/>
      <c r="FX73" s="20"/>
      <c r="FY73" s="20"/>
      <c r="FZ73" s="20"/>
      <c r="GA73" s="20"/>
      <c r="GB73" s="20"/>
      <c r="GC73" s="20"/>
      <c r="GD73" s="20"/>
      <c r="GE73" s="20"/>
      <c r="GF73" s="20"/>
      <c r="GG73" s="20"/>
      <c r="GH73" s="20"/>
      <c r="GI73" s="20"/>
      <c r="GJ73" s="20"/>
      <c r="GK73" s="20"/>
      <c r="GL73" s="20"/>
      <c r="GM73" s="20"/>
      <c r="GN73" s="20"/>
      <c r="GO73" s="20"/>
      <c r="GP73" s="20"/>
      <c r="GQ73" s="20"/>
      <c r="GR73" s="20"/>
      <c r="GS73" s="20"/>
      <c r="GT73" s="20"/>
      <c r="GU73" s="20"/>
      <c r="GV73" s="20"/>
      <c r="GW73" s="20"/>
      <c r="GX73" s="20"/>
      <c r="GY73" s="20"/>
      <c r="GZ73" s="20"/>
      <c r="HA73" s="20"/>
      <c r="HB73" s="20"/>
      <c r="HC73" s="20"/>
      <c r="HD73" s="20"/>
      <c r="HE73" s="20"/>
      <c r="HF73" s="20"/>
      <c r="HG73" s="20"/>
      <c r="HH73" s="20"/>
      <c r="HI73" s="20"/>
      <c r="HJ73" s="20"/>
      <c r="HK73" s="20"/>
      <c r="HL73" s="20"/>
      <c r="HM73" s="20"/>
    </row>
    <row r="74" spans="1:221" ht="55.95" customHeight="1" x14ac:dyDescent="0.3">
      <c r="A74" s="32">
        <v>83</v>
      </c>
      <c r="B74" s="6" t="s">
        <v>1052</v>
      </c>
      <c r="C74" s="10" t="s">
        <v>1095</v>
      </c>
      <c r="D74" s="7">
        <v>2026</v>
      </c>
      <c r="E74" s="13" t="s">
        <v>59</v>
      </c>
      <c r="F74" s="7">
        <v>0</v>
      </c>
      <c r="G74" s="1" t="str">
        <f t="shared" si="6"/>
        <v>Gu, W.</v>
      </c>
      <c r="H74" s="28" t="s">
        <v>1156</v>
      </c>
      <c r="I74" s="15" t="s">
        <v>1182</v>
      </c>
      <c r="J74" s="1" t="s">
        <v>228</v>
      </c>
      <c r="K74" s="1" t="s">
        <v>222</v>
      </c>
      <c r="L74" s="1" t="s">
        <v>402</v>
      </c>
      <c r="M74" s="1" t="s">
        <v>425</v>
      </c>
      <c r="N74" s="1" t="s">
        <v>471</v>
      </c>
      <c r="O74" s="1" t="s">
        <v>540</v>
      </c>
      <c r="P74" s="1" t="s">
        <v>1474</v>
      </c>
      <c r="R74" s="1" t="s">
        <v>423</v>
      </c>
      <c r="S74" s="6" t="s">
        <v>2060</v>
      </c>
      <c r="T74" s="6" t="s">
        <v>2061</v>
      </c>
      <c r="V74" s="6" t="s">
        <v>2062</v>
      </c>
      <c r="X74" s="6" t="s">
        <v>2063</v>
      </c>
      <c r="Z74" s="1">
        <v>5</v>
      </c>
      <c r="AA74" s="1">
        <v>3</v>
      </c>
      <c r="AB74" s="7" t="s">
        <v>566</v>
      </c>
      <c r="AC74" s="1" t="s">
        <v>590</v>
      </c>
      <c r="AD74" s="1" t="s">
        <v>574</v>
      </c>
      <c r="AE74" s="7" t="s">
        <v>218</v>
      </c>
      <c r="AF74" s="1" t="s">
        <v>575</v>
      </c>
      <c r="AG74" s="6" t="s">
        <v>1475</v>
      </c>
      <c r="AH74" s="6" t="s">
        <v>1476</v>
      </c>
      <c r="AI74" s="6" t="s">
        <v>1477</v>
      </c>
      <c r="AK74" s="23" cm="1">
        <f t="array" ref="AK74">_xlfn.IFS(AC74="Principles observation",1, AC74="Concept formulation",2, AC74="Proof-of-concept simulation", 3, AC74="Core function validation", 4, AC74="Integration component testing", 5, AC74="Component validation in relevant environment", 6, AC74="Subsystem demonstration in relevant environment", 7, AC74="System demonstration in operational environment", 8, AC74="Production qualification", 9, AC74="Mission-proven operations", 10)</f>
        <v>5</v>
      </c>
      <c r="AL74" s="23" cm="1">
        <f t="array" ref="AL74">_xlfn.IFS(AD74="Assistive GenAI", 1, AD74="GenAI-led with human oversight", 2, AD74="Autonomous process learning", 3)</f>
        <v>2</v>
      </c>
    </row>
    <row r="75" spans="1:221" ht="55.95" customHeight="1" x14ac:dyDescent="0.3">
      <c r="A75" s="32">
        <v>84</v>
      </c>
      <c r="B75" s="6" t="s">
        <v>1053</v>
      </c>
      <c r="C75" s="10" t="s">
        <v>1096</v>
      </c>
      <c r="D75" s="7">
        <v>2026</v>
      </c>
      <c r="E75" s="13" t="s">
        <v>59</v>
      </c>
      <c r="F75" s="7">
        <v>0</v>
      </c>
      <c r="G75" s="1" t="str">
        <f t="shared" si="6"/>
        <v>Liu, Z.</v>
      </c>
      <c r="H75" s="28" t="s">
        <v>1143</v>
      </c>
      <c r="I75" s="15" t="s">
        <v>1183</v>
      </c>
      <c r="J75" s="1" t="s">
        <v>228</v>
      </c>
      <c r="K75" s="1" t="s">
        <v>222</v>
      </c>
      <c r="L75" s="1" t="s">
        <v>402</v>
      </c>
      <c r="M75" s="1" t="s">
        <v>425</v>
      </c>
      <c r="N75" s="1" t="s">
        <v>383</v>
      </c>
      <c r="O75" s="1" t="s">
        <v>501</v>
      </c>
      <c r="P75" s="1" t="s">
        <v>1478</v>
      </c>
      <c r="R75" s="1" t="s">
        <v>1479</v>
      </c>
      <c r="S75" s="6" t="s">
        <v>2064</v>
      </c>
      <c r="T75" s="6" t="s">
        <v>2065</v>
      </c>
      <c r="V75" s="6" t="s">
        <v>2066</v>
      </c>
      <c r="X75" s="6" t="s">
        <v>2067</v>
      </c>
      <c r="Z75" s="1">
        <v>5</v>
      </c>
      <c r="AA75" s="1">
        <v>4</v>
      </c>
      <c r="AB75" s="1" t="s">
        <v>566</v>
      </c>
      <c r="AC75" s="1" t="s">
        <v>578</v>
      </c>
      <c r="AD75" s="1" t="s">
        <v>573</v>
      </c>
      <c r="AE75" s="1" t="s">
        <v>225</v>
      </c>
      <c r="AF75" s="6"/>
      <c r="AG75" s="6" t="s">
        <v>1480</v>
      </c>
      <c r="AH75" s="6" t="s">
        <v>1481</v>
      </c>
      <c r="AK75" s="23" cm="1">
        <f t="array" ref="AK75">_xlfn.IFS(AC75="Principles observation",1, AC75="Concept formulation",2, AC75="Proof-of-concept simulation", 3, AC75="Core function validation", 4, AC75="Integration component testing", 5, AC75="Component validation in relevant environment", 6, AC75="Subsystem demonstration in relevant environment", 7, AC75="System demonstration in operational environment", 8, AC75="Production qualification", 9, AC75="Mission-proven operations", 10)</f>
        <v>4</v>
      </c>
      <c r="AL75" s="23" cm="1">
        <f t="array" ref="AL75">_xlfn.IFS(AD75="Assistive GenAI", 1, AD75="GenAI-led with human oversight", 2, AD75="Autonomous process learning", 3)</f>
        <v>1</v>
      </c>
    </row>
    <row r="76" spans="1:221" ht="55.95" customHeight="1" x14ac:dyDescent="0.3">
      <c r="A76" s="32">
        <v>85</v>
      </c>
      <c r="B76" s="6" t="s">
        <v>1054</v>
      </c>
      <c r="C76" s="10" t="s">
        <v>1097</v>
      </c>
      <c r="D76" s="7">
        <v>2026</v>
      </c>
      <c r="E76" s="13" t="s">
        <v>62</v>
      </c>
      <c r="F76" s="7">
        <v>0</v>
      </c>
      <c r="G76" s="1" t="str">
        <f t="shared" si="6"/>
        <v>Wang, S.</v>
      </c>
      <c r="H76" s="28" t="s">
        <v>1157</v>
      </c>
      <c r="I76" s="15" t="s">
        <v>1184</v>
      </c>
      <c r="J76" s="1" t="s">
        <v>228</v>
      </c>
      <c r="K76" s="1" t="s">
        <v>222</v>
      </c>
      <c r="L76" s="1" t="s">
        <v>402</v>
      </c>
      <c r="M76" s="1" t="s">
        <v>425</v>
      </c>
      <c r="N76" s="1" t="s">
        <v>383</v>
      </c>
      <c r="O76" s="1" t="s">
        <v>498</v>
      </c>
      <c r="P76" s="1" t="s">
        <v>1472</v>
      </c>
      <c r="R76" s="1" t="s">
        <v>423</v>
      </c>
      <c r="S76" s="6" t="s">
        <v>2068</v>
      </c>
      <c r="T76" s="6" t="s">
        <v>2069</v>
      </c>
      <c r="V76" s="6" t="s">
        <v>2070</v>
      </c>
      <c r="X76" s="6" t="s">
        <v>2071</v>
      </c>
      <c r="Z76" s="1">
        <v>5</v>
      </c>
      <c r="AA76" s="1">
        <v>4</v>
      </c>
      <c r="AB76" s="1" t="s">
        <v>566</v>
      </c>
      <c r="AC76" s="1" t="s">
        <v>578</v>
      </c>
      <c r="AD76" s="1" t="s">
        <v>575</v>
      </c>
      <c r="AE76" s="1" t="s">
        <v>218</v>
      </c>
      <c r="AF76" s="6" t="s">
        <v>1484</v>
      </c>
      <c r="AG76" s="6" t="s">
        <v>1482</v>
      </c>
      <c r="AH76" s="6" t="s">
        <v>1483</v>
      </c>
      <c r="AI76" s="6" t="s">
        <v>1485</v>
      </c>
      <c r="AK76" s="23" cm="1">
        <f t="array" ref="AK76">_xlfn.IFS(AC76="Principles observation",1, AC76="Concept formulation",2, AC76="Proof-of-concept simulation", 3, AC76="Core function validation", 4, AC76="Integration component testing", 5, AC76="Component validation in relevant environment", 6, AC76="Subsystem demonstration in relevant environment", 7, AC76="System demonstration in operational environment", 8, AC76="Production qualification", 9, AC76="Mission-proven operations", 10)</f>
        <v>4</v>
      </c>
      <c r="AL76" s="23" cm="1">
        <f t="array" ref="AL76">_xlfn.IFS(AD76="Assistive GenAI", 1, AD76="GenAI-led with human oversight", 2, AD76="Autonomous process learning", 3)</f>
        <v>3</v>
      </c>
    </row>
    <row r="77" spans="1:221" ht="55.95" customHeight="1" x14ac:dyDescent="0.3">
      <c r="A77" s="32">
        <v>86</v>
      </c>
      <c r="B77" s="6" t="s">
        <v>1055</v>
      </c>
      <c r="C77" s="10" t="s">
        <v>1098</v>
      </c>
      <c r="D77" s="7">
        <v>2026</v>
      </c>
      <c r="E77" s="13" t="s">
        <v>62</v>
      </c>
      <c r="F77" s="7">
        <v>0</v>
      </c>
      <c r="G77" s="1" t="str">
        <f t="shared" si="6"/>
        <v>Liu, S.</v>
      </c>
      <c r="H77" s="28" t="s">
        <v>1158</v>
      </c>
      <c r="I77" s="15" t="s">
        <v>1185</v>
      </c>
      <c r="J77" s="1" t="s">
        <v>228</v>
      </c>
      <c r="K77" s="1" t="s">
        <v>222</v>
      </c>
      <c r="L77" s="1" t="s">
        <v>402</v>
      </c>
      <c r="M77" s="1" t="s">
        <v>425</v>
      </c>
      <c r="N77" s="1" t="s">
        <v>383</v>
      </c>
      <c r="O77" s="1" t="s">
        <v>393</v>
      </c>
      <c r="P77" s="1" t="s">
        <v>1486</v>
      </c>
      <c r="R77" s="1" t="s">
        <v>423</v>
      </c>
      <c r="S77" s="6" t="s">
        <v>2072</v>
      </c>
      <c r="T77" s="6" t="s">
        <v>2073</v>
      </c>
      <c r="V77" s="6" t="s">
        <v>2074</v>
      </c>
      <c r="X77" s="6" t="s">
        <v>2075</v>
      </c>
      <c r="Z77" s="1">
        <v>5</v>
      </c>
      <c r="AA77" s="1">
        <v>3</v>
      </c>
      <c r="AB77" s="7" t="s">
        <v>566</v>
      </c>
      <c r="AC77" s="1" t="s">
        <v>590</v>
      </c>
      <c r="AD77" s="1" t="s">
        <v>574</v>
      </c>
      <c r="AE77" s="7" t="s">
        <v>225</v>
      </c>
      <c r="AF77" s="6"/>
      <c r="AG77" s="6" t="s">
        <v>1487</v>
      </c>
      <c r="AH77" s="6" t="s">
        <v>1488</v>
      </c>
      <c r="AK77" s="23" cm="1">
        <f t="array" ref="AK77">_xlfn.IFS(AC77="Principles observation",1, AC77="Concept formulation",2, AC77="Proof-of-concept simulation", 3, AC77="Core function validation", 4, AC77="Integration component testing", 5, AC77="Component validation in relevant environment", 6, AC77="Subsystem demonstration in relevant environment", 7, AC77="System demonstration in operational environment", 8, AC77="Production qualification", 9, AC77="Mission-proven operations", 10)</f>
        <v>5</v>
      </c>
      <c r="AL77" s="23" cm="1">
        <f t="array" ref="AL77">_xlfn.IFS(AD77="Assistive GenAI", 1, AD77="GenAI-led with human oversight", 2, AD77="Autonomous process learning", 3)</f>
        <v>2</v>
      </c>
    </row>
    <row r="78" spans="1:221" ht="55.95" customHeight="1" x14ac:dyDescent="0.3">
      <c r="A78" s="32">
        <v>87</v>
      </c>
      <c r="B78" s="6" t="s">
        <v>1056</v>
      </c>
      <c r="C78" s="10" t="s">
        <v>1099</v>
      </c>
      <c r="D78" s="7">
        <v>2026</v>
      </c>
      <c r="E78" s="13" t="s">
        <v>62</v>
      </c>
      <c r="F78" s="7">
        <v>0</v>
      </c>
      <c r="G78" s="1" t="str">
        <f t="shared" si="6"/>
        <v>Tong, X.</v>
      </c>
      <c r="H78" s="28" t="s">
        <v>1144</v>
      </c>
      <c r="I78" s="15" t="s">
        <v>1186</v>
      </c>
      <c r="J78" s="1" t="s">
        <v>228</v>
      </c>
      <c r="K78" s="1" t="s">
        <v>222</v>
      </c>
      <c r="L78" s="1" t="s">
        <v>402</v>
      </c>
      <c r="M78" s="1" t="s">
        <v>425</v>
      </c>
      <c r="N78" s="1" t="s">
        <v>383</v>
      </c>
      <c r="O78" s="1" t="s">
        <v>393</v>
      </c>
      <c r="P78" s="1" t="s">
        <v>398</v>
      </c>
      <c r="R78" s="1" t="s">
        <v>403</v>
      </c>
      <c r="S78" s="6" t="s">
        <v>2076</v>
      </c>
      <c r="T78" s="6" t="s">
        <v>2077</v>
      </c>
      <c r="V78" s="6" t="s">
        <v>2078</v>
      </c>
      <c r="X78" s="6" t="s">
        <v>2079</v>
      </c>
      <c r="Z78" s="1">
        <v>5</v>
      </c>
      <c r="AA78" s="1">
        <v>3</v>
      </c>
      <c r="AB78" s="7" t="s">
        <v>566</v>
      </c>
      <c r="AC78" s="1" t="s">
        <v>590</v>
      </c>
      <c r="AD78" s="1" t="s">
        <v>574</v>
      </c>
      <c r="AE78" s="7" t="s">
        <v>225</v>
      </c>
      <c r="AF78" s="6"/>
      <c r="AG78" s="6" t="s">
        <v>1489</v>
      </c>
      <c r="AH78" s="6" t="s">
        <v>1490</v>
      </c>
      <c r="AK78" s="23" cm="1">
        <f t="array" ref="AK78">_xlfn.IFS(AC78="Principles observation",1, AC78="Concept formulation",2, AC78="Proof-of-concept simulation", 3, AC78="Core function validation", 4, AC78="Integration component testing", 5, AC78="Component validation in relevant environment", 6, AC78="Subsystem demonstration in relevant environment", 7, AC78="System demonstration in operational environment", 8, AC78="Production qualification", 9, AC78="Mission-proven operations", 10)</f>
        <v>5</v>
      </c>
      <c r="AL78" s="23" cm="1">
        <f t="array" ref="AL78">_xlfn.IFS(AD78="Assistive GenAI", 1, AD78="GenAI-led with human oversight", 2, AD78="Autonomous process learning", 3)</f>
        <v>2</v>
      </c>
    </row>
    <row r="79" spans="1:221" ht="55.95" customHeight="1" x14ac:dyDescent="0.3">
      <c r="A79" s="32">
        <v>88</v>
      </c>
      <c r="B79" s="6" t="s">
        <v>1057</v>
      </c>
      <c r="C79" s="10" t="s">
        <v>1100</v>
      </c>
      <c r="D79" s="7">
        <v>2026</v>
      </c>
      <c r="E79" s="13" t="s">
        <v>62</v>
      </c>
      <c r="F79" s="7">
        <v>0</v>
      </c>
      <c r="G79" s="1" t="str">
        <f t="shared" si="6"/>
        <v>Alenjareghi, M.J.</v>
      </c>
      <c r="H79" s="28" t="s">
        <v>1159</v>
      </c>
      <c r="I79" s="15" t="s">
        <v>1187</v>
      </c>
      <c r="J79" s="1" t="s">
        <v>228</v>
      </c>
      <c r="K79" s="1" t="s">
        <v>222</v>
      </c>
      <c r="L79" s="1" t="s">
        <v>402</v>
      </c>
      <c r="M79" s="1" t="s">
        <v>425</v>
      </c>
      <c r="N79" s="1" t="s">
        <v>383</v>
      </c>
      <c r="O79" s="1" t="s">
        <v>1491</v>
      </c>
      <c r="P79" s="1" t="s">
        <v>398</v>
      </c>
      <c r="R79" s="1" t="s">
        <v>1479</v>
      </c>
      <c r="S79" s="6" t="s">
        <v>2080</v>
      </c>
      <c r="T79" s="6" t="s">
        <v>2081</v>
      </c>
      <c r="V79" s="6" t="s">
        <v>2082</v>
      </c>
      <c r="X79" s="6" t="s">
        <v>2083</v>
      </c>
      <c r="Z79" s="1">
        <v>5</v>
      </c>
      <c r="AA79" s="1">
        <v>3</v>
      </c>
      <c r="AB79" s="1" t="s">
        <v>566</v>
      </c>
      <c r="AC79" s="1" t="s">
        <v>578</v>
      </c>
      <c r="AD79" s="1" t="s">
        <v>573</v>
      </c>
      <c r="AE79" s="1" t="s">
        <v>225</v>
      </c>
      <c r="AF79" s="6"/>
      <c r="AG79" s="6" t="s">
        <v>1492</v>
      </c>
      <c r="AH79" s="6" t="s">
        <v>1493</v>
      </c>
      <c r="AK79" s="23" cm="1">
        <f t="array" ref="AK79">_xlfn.IFS(AC79="Principles observation",1, AC79="Concept formulation",2, AC79="Proof-of-concept simulation", 3, AC79="Core function validation", 4, AC79="Integration component testing", 5, AC79="Component validation in relevant environment", 6, AC79="Subsystem demonstration in relevant environment", 7, AC79="System demonstration in operational environment", 8, AC79="Production qualification", 9, AC79="Mission-proven operations", 10)</f>
        <v>4</v>
      </c>
      <c r="AL79" s="23" cm="1">
        <f t="array" ref="AL79">_xlfn.IFS(AD79="Assistive GenAI", 1, AD79="GenAI-led with human oversight", 2, AD79="Autonomous process learning", 3)</f>
        <v>1</v>
      </c>
    </row>
    <row r="80" spans="1:221" ht="55.95" customHeight="1" x14ac:dyDescent="0.3">
      <c r="A80" s="32">
        <v>89</v>
      </c>
      <c r="B80" s="6" t="s">
        <v>1058</v>
      </c>
      <c r="C80" s="10" t="s">
        <v>1101</v>
      </c>
      <c r="D80" s="7">
        <v>2026</v>
      </c>
      <c r="E80" s="13" t="s">
        <v>62</v>
      </c>
      <c r="F80" s="7">
        <v>1</v>
      </c>
      <c r="G80" s="1" t="str">
        <f t="shared" si="6"/>
        <v>Chen, J.</v>
      </c>
      <c r="H80" s="28" t="s">
        <v>1160</v>
      </c>
      <c r="I80" s="15" t="s">
        <v>1188</v>
      </c>
      <c r="J80" s="1" t="s">
        <v>228</v>
      </c>
      <c r="K80" s="1" t="s">
        <v>222</v>
      </c>
      <c r="L80" s="1" t="s">
        <v>402</v>
      </c>
      <c r="M80" s="1" t="s">
        <v>425</v>
      </c>
      <c r="N80" s="1" t="s">
        <v>383</v>
      </c>
      <c r="O80" s="1" t="s">
        <v>1491</v>
      </c>
      <c r="P80" s="1" t="s">
        <v>457</v>
      </c>
      <c r="R80" s="1" t="s">
        <v>532</v>
      </c>
      <c r="S80" s="6" t="s">
        <v>2084</v>
      </c>
      <c r="T80" s="6" t="s">
        <v>2085</v>
      </c>
      <c r="V80" s="6" t="s">
        <v>2086</v>
      </c>
      <c r="X80" s="6" t="s">
        <v>2087</v>
      </c>
      <c r="Z80" s="1">
        <v>5</v>
      </c>
      <c r="AA80" s="1">
        <v>3</v>
      </c>
      <c r="AB80" s="7" t="s">
        <v>566</v>
      </c>
      <c r="AC80" s="1" t="s">
        <v>590</v>
      </c>
      <c r="AD80" s="1" t="s">
        <v>574</v>
      </c>
      <c r="AE80" s="7" t="s">
        <v>225</v>
      </c>
      <c r="AF80" s="6"/>
      <c r="AG80" s="6" t="s">
        <v>1494</v>
      </c>
      <c r="AH80" s="6" t="s">
        <v>1495</v>
      </c>
      <c r="AK80" s="23" cm="1">
        <f t="array" ref="AK80">_xlfn.IFS(AC80="Principles observation",1, AC80="Concept formulation",2, AC80="Proof-of-concept simulation", 3, AC80="Core function validation", 4, AC80="Integration component testing", 5, AC80="Component validation in relevant environment", 6, AC80="Subsystem demonstration in relevant environment", 7, AC80="System demonstration in operational environment", 8, AC80="Production qualification", 9, AC80="Mission-proven operations", 10)</f>
        <v>5</v>
      </c>
      <c r="AL80" s="23" cm="1">
        <f t="array" ref="AL80">_xlfn.IFS(AD80="Assistive GenAI", 1, AD80="GenAI-led with human oversight", 2, AD80="Autonomous process learning", 3)</f>
        <v>2</v>
      </c>
    </row>
    <row r="81" spans="1:38" ht="55.95" customHeight="1" x14ac:dyDescent="0.3">
      <c r="A81" s="32">
        <v>90</v>
      </c>
      <c r="B81" s="6" t="s">
        <v>1059</v>
      </c>
      <c r="C81" s="10" t="s">
        <v>1102</v>
      </c>
      <c r="D81" s="7">
        <v>2026</v>
      </c>
      <c r="E81" s="13" t="s">
        <v>62</v>
      </c>
      <c r="F81" s="7">
        <v>0</v>
      </c>
      <c r="G81" s="1" t="str">
        <f t="shared" si="6"/>
        <v>Zhou, Q.</v>
      </c>
      <c r="H81" s="28" t="s">
        <v>1145</v>
      </c>
      <c r="I81" s="15" t="s">
        <v>1189</v>
      </c>
      <c r="J81" s="1" t="s">
        <v>228</v>
      </c>
      <c r="K81" s="1" t="s">
        <v>222</v>
      </c>
      <c r="L81" s="1" t="s">
        <v>402</v>
      </c>
      <c r="M81" s="1" t="s">
        <v>425</v>
      </c>
      <c r="N81" s="1" t="s">
        <v>383</v>
      </c>
      <c r="O81" s="1" t="s">
        <v>393</v>
      </c>
      <c r="P81" s="1" t="s">
        <v>457</v>
      </c>
      <c r="R81" s="1" t="s">
        <v>1496</v>
      </c>
      <c r="S81" s="6" t="s">
        <v>2088</v>
      </c>
      <c r="T81" s="6" t="s">
        <v>2089</v>
      </c>
      <c r="V81" s="6" t="s">
        <v>2090</v>
      </c>
      <c r="X81" s="6" t="s">
        <v>2091</v>
      </c>
      <c r="Z81" s="1">
        <v>5</v>
      </c>
      <c r="AA81" s="1">
        <v>4</v>
      </c>
      <c r="AB81" s="7" t="s">
        <v>566</v>
      </c>
      <c r="AC81" s="1" t="s">
        <v>590</v>
      </c>
      <c r="AD81" s="1" t="s">
        <v>574</v>
      </c>
      <c r="AE81" s="7" t="s">
        <v>225</v>
      </c>
      <c r="AF81" s="6"/>
      <c r="AG81" s="6" t="s">
        <v>1497</v>
      </c>
      <c r="AH81" s="6" t="s">
        <v>1498</v>
      </c>
      <c r="AK81" s="23" cm="1">
        <f t="array" ref="AK81">_xlfn.IFS(AC81="Principles observation",1, AC81="Concept formulation",2, AC81="Proof-of-concept simulation", 3, AC81="Core function validation", 4, AC81="Integration component testing", 5, AC81="Component validation in relevant environment", 6, AC81="Subsystem demonstration in relevant environment", 7, AC81="System demonstration in operational environment", 8, AC81="Production qualification", 9, AC81="Mission-proven operations", 10)</f>
        <v>5</v>
      </c>
      <c r="AL81" s="23" cm="1">
        <f t="array" ref="AL81">_xlfn.IFS(AD81="Assistive GenAI", 1, AD81="GenAI-led with human oversight", 2, AD81="Autonomous process learning", 3)</f>
        <v>2</v>
      </c>
    </row>
    <row r="82" spans="1:38" ht="55.95" customHeight="1" x14ac:dyDescent="0.3">
      <c r="A82" s="32">
        <v>91</v>
      </c>
      <c r="B82" s="6" t="s">
        <v>1060</v>
      </c>
      <c r="C82" s="10" t="s">
        <v>1103</v>
      </c>
      <c r="D82" s="7">
        <v>2026</v>
      </c>
      <c r="E82" s="13" t="s">
        <v>62</v>
      </c>
      <c r="F82" s="7">
        <v>0</v>
      </c>
      <c r="G82" s="1" t="str">
        <f t="shared" si="6"/>
        <v>Tasneem, O.</v>
      </c>
      <c r="H82" s="28" t="s">
        <v>1146</v>
      </c>
      <c r="I82" s="15" t="s">
        <v>1190</v>
      </c>
      <c r="J82" s="1" t="s">
        <v>228</v>
      </c>
      <c r="K82" s="1" t="s">
        <v>222</v>
      </c>
      <c r="L82" s="1" t="s">
        <v>402</v>
      </c>
      <c r="M82" s="1" t="s">
        <v>425</v>
      </c>
      <c r="N82" s="1" t="s">
        <v>383</v>
      </c>
      <c r="O82" s="1" t="s">
        <v>1499</v>
      </c>
      <c r="P82" s="1" t="s">
        <v>1500</v>
      </c>
      <c r="R82" s="1" t="s">
        <v>423</v>
      </c>
      <c r="S82" s="6" t="s">
        <v>2092</v>
      </c>
      <c r="T82" s="6" t="s">
        <v>2093</v>
      </c>
      <c r="V82" s="6" t="s">
        <v>2094</v>
      </c>
      <c r="X82" s="6" t="s">
        <v>2095</v>
      </c>
      <c r="Z82" s="1">
        <v>5</v>
      </c>
      <c r="AA82" s="1">
        <v>3</v>
      </c>
      <c r="AB82" s="7" t="s">
        <v>566</v>
      </c>
      <c r="AC82" s="1" t="s">
        <v>590</v>
      </c>
      <c r="AD82" s="1" t="s">
        <v>574</v>
      </c>
      <c r="AE82" s="7" t="s">
        <v>225</v>
      </c>
      <c r="AF82" s="6"/>
      <c r="AG82" s="6" t="s">
        <v>1501</v>
      </c>
      <c r="AH82" s="6" t="s">
        <v>1502</v>
      </c>
      <c r="AK82" s="23" cm="1">
        <f t="array" ref="AK82">_xlfn.IFS(AC82="Principles observation",1, AC82="Concept formulation",2, AC82="Proof-of-concept simulation", 3, AC82="Core function validation", 4, AC82="Integration component testing", 5, AC82="Component validation in relevant environment", 6, AC82="Subsystem demonstration in relevant environment", 7, AC82="System demonstration in operational environment", 8, AC82="Production qualification", 9, AC82="Mission-proven operations", 10)</f>
        <v>5</v>
      </c>
      <c r="AL82" s="23" cm="1">
        <f t="array" ref="AL82">_xlfn.IFS(AD82="Assistive GenAI", 1, AD82="GenAI-led with human oversight", 2, AD82="Autonomous process learning", 3)</f>
        <v>2</v>
      </c>
    </row>
    <row r="83" spans="1:38" ht="55.95" customHeight="1" x14ac:dyDescent="0.3">
      <c r="A83" s="32">
        <v>92</v>
      </c>
      <c r="B83" s="6" t="s">
        <v>1061</v>
      </c>
      <c r="C83" s="10" t="s">
        <v>1104</v>
      </c>
      <c r="D83" s="7">
        <v>2026</v>
      </c>
      <c r="E83" s="13" t="s">
        <v>62</v>
      </c>
      <c r="F83" s="7">
        <v>0</v>
      </c>
      <c r="G83" s="1" t="str">
        <f t="shared" si="6"/>
        <v>Ding, P.</v>
      </c>
      <c r="H83" s="28" t="s">
        <v>1144</v>
      </c>
      <c r="I83" s="15" t="s">
        <v>1191</v>
      </c>
      <c r="J83" s="1" t="s">
        <v>228</v>
      </c>
      <c r="K83" s="1" t="s">
        <v>222</v>
      </c>
      <c r="L83" s="1" t="s">
        <v>402</v>
      </c>
      <c r="M83" s="1" t="s">
        <v>425</v>
      </c>
      <c r="N83" s="1" t="s">
        <v>383</v>
      </c>
      <c r="O83" s="1" t="s">
        <v>393</v>
      </c>
      <c r="P83" s="1" t="s">
        <v>457</v>
      </c>
      <c r="R83" s="1" t="s">
        <v>423</v>
      </c>
      <c r="S83" s="6" t="s">
        <v>2096</v>
      </c>
      <c r="T83" s="6" t="s">
        <v>2097</v>
      </c>
      <c r="V83" s="6" t="s">
        <v>2098</v>
      </c>
      <c r="X83" s="6" t="s">
        <v>2099</v>
      </c>
      <c r="Z83" s="1">
        <v>5</v>
      </c>
      <c r="AA83" s="1">
        <v>3</v>
      </c>
      <c r="AB83" s="7" t="s">
        <v>566</v>
      </c>
      <c r="AC83" s="1" t="s">
        <v>590</v>
      </c>
      <c r="AD83" s="1" t="s">
        <v>574</v>
      </c>
      <c r="AE83" s="7" t="s">
        <v>225</v>
      </c>
      <c r="AF83" s="6"/>
      <c r="AG83" s="6" t="s">
        <v>1503</v>
      </c>
      <c r="AH83" s="6" t="s">
        <v>1504</v>
      </c>
      <c r="AK83" s="23" cm="1">
        <f t="array" ref="AK83">_xlfn.IFS(AC83="Principles observation",1, AC83="Concept formulation",2, AC83="Proof-of-concept simulation", 3, AC83="Core function validation", 4, AC83="Integration component testing", 5, AC83="Component validation in relevant environment", 6, AC83="Subsystem demonstration in relevant environment", 7, AC83="System demonstration in operational environment", 8, AC83="Production qualification", 9, AC83="Mission-proven operations", 10)</f>
        <v>5</v>
      </c>
      <c r="AL83" s="23" cm="1">
        <f t="array" ref="AL83">_xlfn.IFS(AD83="Assistive GenAI", 1, AD83="GenAI-led with human oversight", 2, AD83="Autonomous process learning", 3)</f>
        <v>2</v>
      </c>
    </row>
    <row r="84" spans="1:38" ht="55.95" customHeight="1" x14ac:dyDescent="0.3">
      <c r="A84" s="32">
        <v>93</v>
      </c>
      <c r="B84" s="6" t="s">
        <v>1064</v>
      </c>
      <c r="C84" s="10" t="s">
        <v>1107</v>
      </c>
      <c r="D84" s="7">
        <v>2026</v>
      </c>
      <c r="E84" s="13" t="s">
        <v>1136</v>
      </c>
      <c r="F84" s="7">
        <v>0</v>
      </c>
      <c r="G84" s="1" t="str">
        <f t="shared" si="6"/>
        <v>Wang, W.</v>
      </c>
      <c r="H84" s="28" t="s">
        <v>1163</v>
      </c>
      <c r="I84" s="15" t="s">
        <v>1194</v>
      </c>
      <c r="J84" s="1" t="s">
        <v>228</v>
      </c>
      <c r="K84" s="1" t="s">
        <v>222</v>
      </c>
      <c r="L84" s="1" t="s">
        <v>402</v>
      </c>
      <c r="M84" s="1" t="s">
        <v>425</v>
      </c>
      <c r="N84" s="1" t="s">
        <v>383</v>
      </c>
      <c r="O84" s="1" t="s">
        <v>393</v>
      </c>
      <c r="R84" s="1" t="s">
        <v>423</v>
      </c>
      <c r="S84" s="6" t="s">
        <v>2100</v>
      </c>
      <c r="T84" s="6" t="s">
        <v>2101</v>
      </c>
      <c r="V84" s="6" t="s">
        <v>2102</v>
      </c>
      <c r="X84" s="6" t="s">
        <v>2103</v>
      </c>
      <c r="Z84" s="1">
        <v>5</v>
      </c>
      <c r="AA84" s="1">
        <v>3</v>
      </c>
      <c r="AB84" s="7" t="s">
        <v>566</v>
      </c>
      <c r="AC84" s="1" t="s">
        <v>590</v>
      </c>
      <c r="AD84" s="1" t="s">
        <v>574</v>
      </c>
      <c r="AE84" s="7" t="s">
        <v>225</v>
      </c>
      <c r="AF84" s="6"/>
      <c r="AG84" s="6" t="s">
        <v>1505</v>
      </c>
      <c r="AH84" s="6" t="s">
        <v>1506</v>
      </c>
      <c r="AK84" s="23" cm="1">
        <f t="array" ref="AK84">_xlfn.IFS(AC84="Principles observation",1, AC84="Concept formulation",2, AC84="Proof-of-concept simulation", 3, AC84="Core function validation", 4, AC84="Integration component testing", 5, AC84="Component validation in relevant environment", 6, AC84="Subsystem demonstration in relevant environment", 7, AC84="System demonstration in operational environment", 8, AC84="Production qualification", 9, AC84="Mission-proven operations", 10)</f>
        <v>5</v>
      </c>
      <c r="AL84" s="23" cm="1">
        <f t="array" ref="AL84">_xlfn.IFS(AD84="Assistive GenAI", 1, AD84="GenAI-led with human oversight", 2, AD84="Autonomous process learning", 3)</f>
        <v>2</v>
      </c>
    </row>
    <row r="85" spans="1:38" ht="55.95" customHeight="1" x14ac:dyDescent="0.3">
      <c r="A85" s="32">
        <v>94</v>
      </c>
      <c r="B85" s="6" t="s">
        <v>1065</v>
      </c>
      <c r="C85" s="10" t="s">
        <v>1108</v>
      </c>
      <c r="D85" s="7">
        <v>2026</v>
      </c>
      <c r="E85" s="13" t="s">
        <v>1137</v>
      </c>
      <c r="F85" s="7">
        <v>0</v>
      </c>
      <c r="G85" s="1" t="str">
        <f t="shared" si="6"/>
        <v>Chen, H.</v>
      </c>
      <c r="H85" s="28" t="s">
        <v>1164</v>
      </c>
      <c r="I85" s="15" t="s">
        <v>1195</v>
      </c>
      <c r="J85" s="1" t="s">
        <v>228</v>
      </c>
      <c r="K85" s="1" t="s">
        <v>222</v>
      </c>
      <c r="L85" s="1" t="s">
        <v>402</v>
      </c>
      <c r="M85" s="1" t="s">
        <v>425</v>
      </c>
      <c r="N85" s="1" t="s">
        <v>383</v>
      </c>
      <c r="O85" s="1" t="s">
        <v>498</v>
      </c>
      <c r="R85" s="1" t="s">
        <v>1496</v>
      </c>
      <c r="S85" s="6" t="s">
        <v>2104</v>
      </c>
      <c r="T85" s="6" t="s">
        <v>2105</v>
      </c>
      <c r="V85" s="6" t="s">
        <v>2106</v>
      </c>
      <c r="X85" s="6" t="s">
        <v>2107</v>
      </c>
      <c r="Z85" s="1">
        <v>4</v>
      </c>
      <c r="AA85" s="1">
        <v>3</v>
      </c>
      <c r="AB85" s="1" t="s">
        <v>602</v>
      </c>
      <c r="AC85" s="1" t="s">
        <v>587</v>
      </c>
      <c r="AD85" s="1" t="s">
        <v>573</v>
      </c>
      <c r="AE85" s="1" t="s">
        <v>225</v>
      </c>
      <c r="AF85" s="6"/>
      <c r="AG85" s="6" t="s">
        <v>1507</v>
      </c>
      <c r="AH85" s="6" t="s">
        <v>1508</v>
      </c>
      <c r="AK85" s="23" cm="1">
        <f t="array" ref="AK85">_xlfn.IFS(AC85="Principles observation",1, AC85="Concept formulation",2, AC85="Proof-of-concept simulation", 3, AC85="Core function validation", 4, AC85="Integration component testing", 5, AC85="Component validation in relevant environment", 6, AC85="Subsystem demonstration in relevant environment", 7, AC85="System demonstration in operational environment", 8, AC85="Production qualification", 9, AC85="Mission-proven operations", 10)</f>
        <v>3</v>
      </c>
      <c r="AL85" s="23" cm="1">
        <f t="array" ref="AL85">_xlfn.IFS(AD85="Assistive GenAI", 1, AD85="GenAI-led with human oversight", 2, AD85="Autonomous process learning", 3)</f>
        <v>1</v>
      </c>
    </row>
    <row r="86" spans="1:38" ht="55.95" customHeight="1" x14ac:dyDescent="0.3">
      <c r="A86" s="32">
        <v>95</v>
      </c>
      <c r="B86" s="6" t="s">
        <v>1066</v>
      </c>
      <c r="C86" s="10" t="s">
        <v>1109</v>
      </c>
      <c r="D86" s="7">
        <v>2026</v>
      </c>
      <c r="E86" s="13" t="s">
        <v>58</v>
      </c>
      <c r="F86" s="7">
        <v>0</v>
      </c>
      <c r="G86" s="1" t="str">
        <f t="shared" si="6"/>
        <v>Liu, C.</v>
      </c>
      <c r="H86" s="28" t="s">
        <v>1147</v>
      </c>
      <c r="I86" s="15" t="s">
        <v>1196</v>
      </c>
      <c r="J86" s="1" t="s">
        <v>228</v>
      </c>
      <c r="K86" s="1" t="s">
        <v>222</v>
      </c>
      <c r="L86" s="1" t="s">
        <v>402</v>
      </c>
      <c r="M86" s="1" t="s">
        <v>425</v>
      </c>
      <c r="N86" s="1" t="s">
        <v>471</v>
      </c>
      <c r="O86" s="1" t="s">
        <v>540</v>
      </c>
      <c r="P86" s="1" t="s">
        <v>457</v>
      </c>
      <c r="R86" s="1" t="s">
        <v>423</v>
      </c>
      <c r="S86" s="6" t="s">
        <v>2108</v>
      </c>
      <c r="T86" s="6" t="s">
        <v>2109</v>
      </c>
      <c r="V86" s="6" t="s">
        <v>2110</v>
      </c>
      <c r="X86" s="6" t="s">
        <v>2111</v>
      </c>
      <c r="Z86" s="1">
        <v>4</v>
      </c>
      <c r="AA86" s="1">
        <v>3</v>
      </c>
      <c r="AB86" s="7" t="s">
        <v>610</v>
      </c>
      <c r="AC86" s="1" t="s">
        <v>647</v>
      </c>
      <c r="AD86" s="1" t="s">
        <v>574</v>
      </c>
      <c r="AE86" s="1" t="s">
        <v>225</v>
      </c>
      <c r="AF86" s="6"/>
      <c r="AG86" s="6" t="s">
        <v>1509</v>
      </c>
      <c r="AH86" s="6" t="s">
        <v>1510</v>
      </c>
      <c r="AK86" s="23" cm="1">
        <f t="array" ref="AK86">_xlfn.IFS(AC86="Principles observation",1, AC86="Concept formulation",2, AC86="Proof-of-concept simulation", 3, AC86="Core function validation", 4, AC86="Integration component testing", 5, AC86="Component validation in relevant environment", 6, AC86="Subsystem demonstration in relevant environment", 7, AC86="System demonstration in operational environment", 8, AC86="Production qualification", 9, AC86="Mission-proven operations", 10)</f>
        <v>6</v>
      </c>
      <c r="AL86" s="23" cm="1">
        <f t="array" ref="AL86">_xlfn.IFS(AD86="Assistive GenAI", 1, AD86="GenAI-led with human oversight", 2, AD86="Autonomous process learning", 3)</f>
        <v>2</v>
      </c>
    </row>
    <row r="87" spans="1:38" ht="55.95" customHeight="1" x14ac:dyDescent="0.3">
      <c r="A87" s="32">
        <v>96</v>
      </c>
      <c r="B87" s="6" t="s">
        <v>1067</v>
      </c>
      <c r="C87" s="10" t="s">
        <v>1110</v>
      </c>
      <c r="D87" s="7">
        <v>2026</v>
      </c>
      <c r="E87" s="13" t="s">
        <v>58</v>
      </c>
      <c r="F87" s="7">
        <v>0</v>
      </c>
      <c r="G87" s="1" t="str">
        <f t="shared" si="6"/>
        <v>Wu, T.</v>
      </c>
      <c r="H87" s="28" t="s">
        <v>1144</v>
      </c>
      <c r="I87" s="15" t="s">
        <v>1197</v>
      </c>
      <c r="J87" s="1" t="s">
        <v>228</v>
      </c>
      <c r="K87" s="1" t="s">
        <v>222</v>
      </c>
      <c r="L87" s="1" t="s">
        <v>402</v>
      </c>
      <c r="M87" s="1" t="s">
        <v>425</v>
      </c>
      <c r="N87" s="1" t="s">
        <v>471</v>
      </c>
      <c r="O87" s="1" t="s">
        <v>540</v>
      </c>
      <c r="P87" s="1" t="s">
        <v>422</v>
      </c>
      <c r="R87" s="1" t="s">
        <v>423</v>
      </c>
      <c r="S87" s="6" t="s">
        <v>2112</v>
      </c>
      <c r="T87" s="6" t="s">
        <v>2113</v>
      </c>
      <c r="V87" s="6" t="s">
        <v>2114</v>
      </c>
      <c r="X87" s="6" t="s">
        <v>2115</v>
      </c>
      <c r="Z87" s="1">
        <v>4</v>
      </c>
      <c r="AA87" s="1">
        <v>3</v>
      </c>
      <c r="AB87" s="7" t="s">
        <v>566</v>
      </c>
      <c r="AC87" s="1" t="s">
        <v>590</v>
      </c>
      <c r="AD87" s="1" t="s">
        <v>574</v>
      </c>
      <c r="AE87" s="7" t="s">
        <v>225</v>
      </c>
      <c r="AF87" s="6"/>
      <c r="AG87" s="6" t="s">
        <v>1511</v>
      </c>
      <c r="AH87" s="6" t="s">
        <v>1512</v>
      </c>
      <c r="AK87" s="23" cm="1">
        <f t="array" ref="AK87">_xlfn.IFS(AC87="Principles observation",1, AC87="Concept formulation",2, AC87="Proof-of-concept simulation", 3, AC87="Core function validation", 4, AC87="Integration component testing", 5, AC87="Component validation in relevant environment", 6, AC87="Subsystem demonstration in relevant environment", 7, AC87="System demonstration in operational environment", 8, AC87="Production qualification", 9, AC87="Mission-proven operations", 10)</f>
        <v>5</v>
      </c>
      <c r="AL87" s="23" cm="1">
        <f t="array" ref="AL87">_xlfn.IFS(AD87="Assistive GenAI", 1, AD87="GenAI-led with human oversight", 2, AD87="Autonomous process learning", 3)</f>
        <v>2</v>
      </c>
    </row>
    <row r="88" spans="1:38" ht="55.95" customHeight="1" x14ac:dyDescent="0.3">
      <c r="A88" s="32">
        <v>97</v>
      </c>
      <c r="B88" s="6" t="s">
        <v>1068</v>
      </c>
      <c r="C88" s="10" t="s">
        <v>1111</v>
      </c>
      <c r="D88" s="7">
        <v>2026</v>
      </c>
      <c r="E88" s="13" t="s">
        <v>58</v>
      </c>
      <c r="F88" s="7">
        <v>0</v>
      </c>
      <c r="G88" s="1" t="str">
        <f t="shared" si="6"/>
        <v>Ma, Y.</v>
      </c>
      <c r="H88" s="28" t="s">
        <v>1165</v>
      </c>
      <c r="I88" s="15" t="s">
        <v>1198</v>
      </c>
      <c r="J88" s="1" t="s">
        <v>228</v>
      </c>
      <c r="K88" s="1" t="s">
        <v>222</v>
      </c>
      <c r="L88" s="1" t="s">
        <v>402</v>
      </c>
      <c r="M88" s="1" t="s">
        <v>425</v>
      </c>
      <c r="N88" s="1" t="s">
        <v>471</v>
      </c>
      <c r="O88" s="1" t="s">
        <v>481</v>
      </c>
      <c r="P88" s="1" t="s">
        <v>389</v>
      </c>
      <c r="R88" s="1" t="s">
        <v>483</v>
      </c>
      <c r="S88" s="6" t="s">
        <v>2116</v>
      </c>
      <c r="T88" s="6" t="s">
        <v>2117</v>
      </c>
      <c r="U88" s="6" t="s">
        <v>2118</v>
      </c>
      <c r="V88" s="6" t="s">
        <v>2119</v>
      </c>
      <c r="X88" s="6" t="s">
        <v>2120</v>
      </c>
      <c r="Z88" s="1">
        <v>4</v>
      </c>
      <c r="AA88" s="1">
        <v>4</v>
      </c>
      <c r="AB88" s="7" t="s">
        <v>610</v>
      </c>
      <c r="AC88" s="1" t="s">
        <v>647</v>
      </c>
      <c r="AD88" s="1" t="s">
        <v>573</v>
      </c>
      <c r="AE88" s="7" t="s">
        <v>218</v>
      </c>
      <c r="AF88" s="6" t="s">
        <v>601</v>
      </c>
      <c r="AG88" s="6" t="s">
        <v>1513</v>
      </c>
      <c r="AH88" s="6" t="s">
        <v>1514</v>
      </c>
      <c r="AI88" s="6" t="s">
        <v>1515</v>
      </c>
      <c r="AK88" s="23" cm="1">
        <f t="array" ref="AK88">_xlfn.IFS(AC88="Principles observation",1, AC88="Concept formulation",2, AC88="Proof-of-concept simulation", 3, AC88="Core function validation", 4, AC88="Integration component testing", 5, AC88="Component validation in relevant environment", 6, AC88="Subsystem demonstration in relevant environment", 7, AC88="System demonstration in operational environment", 8, AC88="Production qualification", 9, AC88="Mission-proven operations", 10)</f>
        <v>6</v>
      </c>
      <c r="AL88" s="23" cm="1">
        <f t="array" ref="AL88">_xlfn.IFS(AD88="Assistive GenAI", 1, AD88="GenAI-led with human oversight", 2, AD88="Autonomous process learning", 3)</f>
        <v>1</v>
      </c>
    </row>
    <row r="89" spans="1:38" ht="55.95" customHeight="1" x14ac:dyDescent="0.3">
      <c r="A89" s="32">
        <v>99</v>
      </c>
      <c r="B89" s="6" t="s">
        <v>1069</v>
      </c>
      <c r="C89" s="10" t="s">
        <v>1112</v>
      </c>
      <c r="D89" s="7">
        <v>2026</v>
      </c>
      <c r="E89" s="13" t="s">
        <v>62</v>
      </c>
      <c r="F89" s="7">
        <v>0</v>
      </c>
      <c r="G89" s="1" t="str">
        <f t="shared" si="6"/>
        <v>Wang, Y.</v>
      </c>
      <c r="H89" s="28" t="s">
        <v>1166</v>
      </c>
      <c r="I89" s="15" t="s">
        <v>1199</v>
      </c>
      <c r="J89" s="1" t="s">
        <v>228</v>
      </c>
      <c r="K89" s="1" t="s">
        <v>222</v>
      </c>
      <c r="L89" s="1" t="s">
        <v>402</v>
      </c>
      <c r="M89" s="1" t="s">
        <v>425</v>
      </c>
      <c r="N89" s="1" t="s">
        <v>383</v>
      </c>
      <c r="O89" s="1" t="s">
        <v>393</v>
      </c>
      <c r="P89" s="1" t="s">
        <v>389</v>
      </c>
      <c r="R89" s="1" t="s">
        <v>423</v>
      </c>
      <c r="S89" s="6" t="s">
        <v>2121</v>
      </c>
      <c r="T89" s="6" t="s">
        <v>2122</v>
      </c>
      <c r="V89" s="6" t="s">
        <v>2123</v>
      </c>
      <c r="X89" s="6" t="s">
        <v>2124</v>
      </c>
      <c r="Z89" s="1">
        <v>5</v>
      </c>
      <c r="AA89" s="1">
        <v>4</v>
      </c>
      <c r="AB89" s="7" t="s">
        <v>566</v>
      </c>
      <c r="AC89" s="1" t="s">
        <v>590</v>
      </c>
      <c r="AD89" s="1" t="s">
        <v>574</v>
      </c>
      <c r="AE89" s="7" t="s">
        <v>225</v>
      </c>
      <c r="AF89" s="6"/>
      <c r="AG89" s="6" t="s">
        <v>1516</v>
      </c>
      <c r="AH89" s="6" t="s">
        <v>1517</v>
      </c>
      <c r="AK89" s="23" cm="1">
        <f t="array" ref="AK89">_xlfn.IFS(AC89="Principles observation",1, AC89="Concept formulation",2, AC89="Proof-of-concept simulation", 3, AC89="Core function validation", 4, AC89="Integration component testing", 5, AC89="Component validation in relevant environment", 6, AC89="Subsystem demonstration in relevant environment", 7, AC89="System demonstration in operational environment", 8, AC89="Production qualification", 9, AC89="Mission-proven operations", 10)</f>
        <v>5</v>
      </c>
      <c r="AL89" s="23" cm="1">
        <f t="array" ref="AL89">_xlfn.IFS(AD89="Assistive GenAI", 1, AD89="GenAI-led with human oversight", 2, AD89="Autonomous process learning", 3)</f>
        <v>2</v>
      </c>
    </row>
    <row r="90" spans="1:38" ht="55.95" customHeight="1" x14ac:dyDescent="0.3">
      <c r="A90" s="32">
        <v>100</v>
      </c>
      <c r="B90" s="6" t="s">
        <v>1070</v>
      </c>
      <c r="C90" s="10" t="s">
        <v>1113</v>
      </c>
      <c r="D90" s="7">
        <v>2026</v>
      </c>
      <c r="E90" s="13" t="s">
        <v>62</v>
      </c>
      <c r="F90" s="7">
        <v>2</v>
      </c>
      <c r="G90" s="1" t="str">
        <f t="shared" si="6"/>
        <v>Ma, Y.</v>
      </c>
      <c r="H90" s="28" t="s">
        <v>1147</v>
      </c>
      <c r="I90" s="15" t="s">
        <v>1200</v>
      </c>
      <c r="J90" s="1" t="s">
        <v>228</v>
      </c>
      <c r="K90" s="1" t="s">
        <v>222</v>
      </c>
      <c r="L90" s="1" t="s">
        <v>402</v>
      </c>
      <c r="M90" s="1" t="s">
        <v>425</v>
      </c>
      <c r="N90" s="1" t="s">
        <v>383</v>
      </c>
      <c r="O90" s="1" t="s">
        <v>393</v>
      </c>
      <c r="P90" s="1" t="s">
        <v>389</v>
      </c>
      <c r="R90" s="1" t="s">
        <v>386</v>
      </c>
      <c r="S90" s="6" t="s">
        <v>2125</v>
      </c>
      <c r="T90" s="6" t="s">
        <v>2126</v>
      </c>
      <c r="V90" s="6" t="s">
        <v>2127</v>
      </c>
      <c r="X90" s="6" t="s">
        <v>2128</v>
      </c>
      <c r="Z90" s="1">
        <v>5</v>
      </c>
      <c r="AA90" s="1">
        <v>4</v>
      </c>
      <c r="AB90" s="7" t="s">
        <v>566</v>
      </c>
      <c r="AC90" s="1" t="s">
        <v>590</v>
      </c>
      <c r="AD90" s="1" t="s">
        <v>573</v>
      </c>
      <c r="AE90" s="7" t="s">
        <v>225</v>
      </c>
      <c r="AF90" s="6"/>
      <c r="AG90" s="6" t="s">
        <v>1518</v>
      </c>
      <c r="AH90" s="6" t="s">
        <v>1519</v>
      </c>
      <c r="AK90" s="23" cm="1">
        <f t="array" ref="AK90">_xlfn.IFS(AC90="Principles observation",1, AC90="Concept formulation",2, AC90="Proof-of-concept simulation", 3, AC90="Core function validation", 4, AC90="Integration component testing", 5, AC90="Component validation in relevant environment", 6, AC90="Subsystem demonstration in relevant environment", 7, AC90="System demonstration in operational environment", 8, AC90="Production qualification", 9, AC90="Mission-proven operations", 10)</f>
        <v>5</v>
      </c>
      <c r="AL90" s="23" cm="1">
        <f t="array" ref="AL90">_xlfn.IFS(AD90="Assistive GenAI", 1, AD90="GenAI-led with human oversight", 2, AD90="Autonomous process learning", 3)</f>
        <v>1</v>
      </c>
    </row>
    <row r="91" spans="1:38" ht="55.95" customHeight="1" x14ac:dyDescent="0.3">
      <c r="A91" s="32">
        <v>101</v>
      </c>
      <c r="B91" s="6" t="s">
        <v>1071</v>
      </c>
      <c r="C91" s="10" t="s">
        <v>1114</v>
      </c>
      <c r="D91" s="7">
        <v>2026</v>
      </c>
      <c r="E91" s="13" t="s">
        <v>62</v>
      </c>
      <c r="F91" s="7">
        <v>0</v>
      </c>
      <c r="G91" s="1" t="str">
        <f t="shared" si="6"/>
        <v>Shi, D.</v>
      </c>
      <c r="H91" s="28" t="s">
        <v>1167</v>
      </c>
      <c r="I91" s="15" t="s">
        <v>1201</v>
      </c>
      <c r="J91" s="1" t="s">
        <v>228</v>
      </c>
      <c r="K91" s="1" t="s">
        <v>222</v>
      </c>
      <c r="L91" s="1" t="s">
        <v>402</v>
      </c>
      <c r="M91" s="1" t="s">
        <v>425</v>
      </c>
      <c r="N91" s="1" t="s">
        <v>471</v>
      </c>
      <c r="O91" s="1" t="s">
        <v>481</v>
      </c>
      <c r="P91" s="1" t="s">
        <v>457</v>
      </c>
      <c r="R91" s="1" t="s">
        <v>386</v>
      </c>
      <c r="S91" s="6" t="s">
        <v>2129</v>
      </c>
      <c r="T91" s="6" t="s">
        <v>2130</v>
      </c>
      <c r="V91" s="6" t="s">
        <v>2131</v>
      </c>
      <c r="X91" s="6" t="s">
        <v>2132</v>
      </c>
      <c r="Z91" s="1">
        <v>5</v>
      </c>
      <c r="AA91" s="1">
        <v>3</v>
      </c>
      <c r="AB91" s="7" t="s">
        <v>566</v>
      </c>
      <c r="AC91" s="1" t="s">
        <v>590</v>
      </c>
      <c r="AD91" s="1" t="s">
        <v>574</v>
      </c>
      <c r="AE91" s="7" t="s">
        <v>218</v>
      </c>
      <c r="AF91" s="1" t="s">
        <v>573</v>
      </c>
      <c r="AG91" s="6" t="s">
        <v>1520</v>
      </c>
      <c r="AH91" s="6" t="s">
        <v>1521</v>
      </c>
      <c r="AI91" s="6" t="s">
        <v>1522</v>
      </c>
      <c r="AK91" s="23" cm="1">
        <f t="array" ref="AK91">_xlfn.IFS(AC91="Principles observation",1, AC91="Concept formulation",2, AC91="Proof-of-concept simulation", 3, AC91="Core function validation", 4, AC91="Integration component testing", 5, AC91="Component validation in relevant environment", 6, AC91="Subsystem demonstration in relevant environment", 7, AC91="System demonstration in operational environment", 8, AC91="Production qualification", 9, AC91="Mission-proven operations", 10)</f>
        <v>5</v>
      </c>
      <c r="AL91" s="23" cm="1">
        <f t="array" ref="AL91">_xlfn.IFS(AD91="Assistive GenAI", 1, AD91="GenAI-led with human oversight", 2, AD91="Autonomous process learning", 3)</f>
        <v>2</v>
      </c>
    </row>
    <row r="92" spans="1:38" ht="55.95" customHeight="1" x14ac:dyDescent="0.3">
      <c r="A92" s="32">
        <v>102</v>
      </c>
      <c r="B92" s="6" t="s">
        <v>1072</v>
      </c>
      <c r="C92" s="10" t="s">
        <v>1115</v>
      </c>
      <c r="D92" s="7">
        <v>2026</v>
      </c>
      <c r="E92" s="13" t="s">
        <v>62</v>
      </c>
      <c r="F92" s="7">
        <v>1</v>
      </c>
      <c r="G92" s="1" t="str">
        <f t="shared" si="6"/>
        <v>Safari, A.</v>
      </c>
      <c r="H92" s="28" t="s">
        <v>1168</v>
      </c>
      <c r="I92" s="15" t="s">
        <v>1202</v>
      </c>
      <c r="J92" s="1" t="s">
        <v>228</v>
      </c>
      <c r="K92" s="1" t="s">
        <v>222</v>
      </c>
      <c r="L92" s="1" t="s">
        <v>402</v>
      </c>
      <c r="M92" s="1" t="s">
        <v>425</v>
      </c>
      <c r="N92" s="1" t="s">
        <v>383</v>
      </c>
      <c r="O92" s="1" t="s">
        <v>1523</v>
      </c>
      <c r="R92" s="1" t="s">
        <v>1524</v>
      </c>
      <c r="S92" s="6" t="s">
        <v>2133</v>
      </c>
      <c r="T92" s="6" t="s">
        <v>2134</v>
      </c>
      <c r="V92" s="6" t="s">
        <v>2135</v>
      </c>
      <c r="X92" s="6" t="s">
        <v>2136</v>
      </c>
      <c r="Z92" s="1">
        <v>4</v>
      </c>
      <c r="AA92" s="1">
        <v>3</v>
      </c>
      <c r="AB92" s="1" t="s">
        <v>602</v>
      </c>
      <c r="AC92" s="1" t="s">
        <v>587</v>
      </c>
      <c r="AD92" s="1" t="s">
        <v>573</v>
      </c>
      <c r="AE92" s="7" t="s">
        <v>225</v>
      </c>
      <c r="AF92" s="6"/>
      <c r="AG92" s="6" t="s">
        <v>1526</v>
      </c>
      <c r="AH92" s="6" t="s">
        <v>1525</v>
      </c>
      <c r="AK92" s="23" cm="1">
        <f t="array" ref="AK92">_xlfn.IFS(AC92="Principles observation",1, AC92="Concept formulation",2, AC92="Proof-of-concept simulation", 3, AC92="Core function validation", 4, AC92="Integration component testing", 5, AC92="Component validation in relevant environment", 6, AC92="Subsystem demonstration in relevant environment", 7, AC92="System demonstration in operational environment", 8, AC92="Production qualification", 9, AC92="Mission-proven operations", 10)</f>
        <v>3</v>
      </c>
      <c r="AL92" s="23" cm="1">
        <f t="array" ref="AL92">_xlfn.IFS(AD92="Assistive GenAI", 1, AD92="GenAI-led with human oversight", 2, AD92="Autonomous process learning", 3)</f>
        <v>1</v>
      </c>
    </row>
    <row r="93" spans="1:38" ht="55.95" customHeight="1" x14ac:dyDescent="0.3">
      <c r="A93" s="32">
        <v>105</v>
      </c>
      <c r="B93" s="6" t="s">
        <v>1073</v>
      </c>
      <c r="C93" s="10" t="s">
        <v>1116</v>
      </c>
      <c r="D93" s="7">
        <v>2026</v>
      </c>
      <c r="E93" s="13" t="s">
        <v>66</v>
      </c>
      <c r="F93" s="7">
        <v>0</v>
      </c>
      <c r="G93" s="1" t="str">
        <f t="shared" si="6"/>
        <v>Barot, M.</v>
      </c>
      <c r="H93" s="28" t="s">
        <v>1148</v>
      </c>
      <c r="I93" s="15" t="s">
        <v>1203</v>
      </c>
      <c r="J93" s="1" t="s">
        <v>228</v>
      </c>
      <c r="K93" s="1" t="s">
        <v>222</v>
      </c>
      <c r="L93" s="1" t="s">
        <v>402</v>
      </c>
      <c r="M93" s="1" t="s">
        <v>425</v>
      </c>
      <c r="N93" s="1" t="s">
        <v>383</v>
      </c>
      <c r="O93" s="1" t="s">
        <v>498</v>
      </c>
      <c r="P93" s="1" t="s">
        <v>1474</v>
      </c>
      <c r="R93" s="1" t="s">
        <v>1524</v>
      </c>
      <c r="S93" s="6" t="s">
        <v>2137</v>
      </c>
      <c r="T93" s="6" t="s">
        <v>2138</v>
      </c>
      <c r="V93" s="6" t="s">
        <v>2139</v>
      </c>
      <c r="X93" s="6" t="s">
        <v>2140</v>
      </c>
      <c r="Z93" s="1">
        <v>3</v>
      </c>
      <c r="AA93" s="1">
        <v>3</v>
      </c>
      <c r="AB93" s="7" t="s">
        <v>566</v>
      </c>
      <c r="AC93" s="1" t="s">
        <v>578</v>
      </c>
      <c r="AD93" s="1" t="s">
        <v>573</v>
      </c>
      <c r="AE93" s="7" t="s">
        <v>225</v>
      </c>
      <c r="AF93" s="6"/>
      <c r="AG93" s="6" t="s">
        <v>1527</v>
      </c>
      <c r="AH93" s="6" t="s">
        <v>1528</v>
      </c>
      <c r="AK93" s="23" cm="1">
        <f t="array" ref="AK93">_xlfn.IFS(AC93="Principles observation",1, AC93="Concept formulation",2, AC93="Proof-of-concept simulation", 3, AC93="Core function validation", 4, AC93="Integration component testing", 5, AC93="Component validation in relevant environment", 6, AC93="Subsystem demonstration in relevant environment", 7, AC93="System demonstration in operational environment", 8, AC93="Production qualification", 9, AC93="Mission-proven operations", 10)</f>
        <v>4</v>
      </c>
      <c r="AL93" s="23" cm="1">
        <f t="array" ref="AL93">_xlfn.IFS(AD93="Assistive GenAI", 1, AD93="GenAI-led with human oversight", 2, AD93="Autonomous process learning", 3)</f>
        <v>1</v>
      </c>
    </row>
    <row r="94" spans="1:38" ht="55.95" customHeight="1" x14ac:dyDescent="0.3">
      <c r="A94" s="32">
        <v>106</v>
      </c>
      <c r="B94" s="6" t="s">
        <v>1074</v>
      </c>
      <c r="C94" s="10" t="s">
        <v>1117</v>
      </c>
      <c r="D94" s="7">
        <v>2026</v>
      </c>
      <c r="E94" s="13" t="s">
        <v>61</v>
      </c>
      <c r="F94" s="7">
        <v>0</v>
      </c>
      <c r="G94" s="1" t="str">
        <f t="shared" si="6"/>
        <v>Zhang, C.</v>
      </c>
      <c r="H94" s="28" t="s">
        <v>1169</v>
      </c>
      <c r="I94" s="15" t="s">
        <v>1204</v>
      </c>
      <c r="J94" s="1" t="s">
        <v>228</v>
      </c>
      <c r="K94" s="1" t="s">
        <v>222</v>
      </c>
      <c r="L94" s="1" t="s">
        <v>402</v>
      </c>
      <c r="M94" s="1" t="s">
        <v>425</v>
      </c>
      <c r="N94" s="1" t="s">
        <v>471</v>
      </c>
      <c r="O94" s="1" t="s">
        <v>481</v>
      </c>
      <c r="P94" s="1" t="s">
        <v>1529</v>
      </c>
      <c r="R94" s="1" t="s">
        <v>1479</v>
      </c>
      <c r="S94" s="6" t="s">
        <v>2141</v>
      </c>
      <c r="T94" s="6" t="s">
        <v>2142</v>
      </c>
      <c r="V94" s="6" t="s">
        <v>2143</v>
      </c>
      <c r="X94" s="6" t="s">
        <v>2144</v>
      </c>
      <c r="Z94" s="1">
        <v>4</v>
      </c>
      <c r="AA94" s="1">
        <v>3</v>
      </c>
      <c r="AB94" s="7" t="s">
        <v>566</v>
      </c>
      <c r="AC94" s="1" t="s">
        <v>578</v>
      </c>
      <c r="AD94" s="1" t="s">
        <v>573</v>
      </c>
      <c r="AE94" s="7" t="s">
        <v>218</v>
      </c>
      <c r="AF94" s="6" t="s">
        <v>1484</v>
      </c>
      <c r="AG94" s="6" t="s">
        <v>1530</v>
      </c>
      <c r="AH94" s="6" t="s">
        <v>1531</v>
      </c>
      <c r="AI94" s="6" t="s">
        <v>1532</v>
      </c>
      <c r="AK94" s="23" cm="1">
        <f t="array" ref="AK94">_xlfn.IFS(AC94="Principles observation",1, AC94="Concept formulation",2, AC94="Proof-of-concept simulation", 3, AC94="Core function validation", 4, AC94="Integration component testing", 5, AC94="Component validation in relevant environment", 6, AC94="Subsystem demonstration in relevant environment", 7, AC94="System demonstration in operational environment", 8, AC94="Production qualification", 9, AC94="Mission-proven operations", 10)</f>
        <v>4</v>
      </c>
      <c r="AL94" s="23" cm="1">
        <f t="array" ref="AL94">_xlfn.IFS(AD94="Assistive GenAI", 1, AD94="GenAI-led with human oversight", 2, AD94="Autonomous process learning", 3)</f>
        <v>1</v>
      </c>
    </row>
    <row r="95" spans="1:38" ht="55.95" customHeight="1" x14ac:dyDescent="0.3">
      <c r="A95" s="32">
        <v>107</v>
      </c>
      <c r="B95" s="6" t="s">
        <v>1075</v>
      </c>
      <c r="C95" s="10" t="s">
        <v>1118</v>
      </c>
      <c r="D95" s="7">
        <v>2026</v>
      </c>
      <c r="E95" s="13" t="s">
        <v>752</v>
      </c>
      <c r="F95" s="7">
        <v>0</v>
      </c>
      <c r="G95" s="1" t="str">
        <f t="shared" si="6"/>
        <v>Genetti, S.</v>
      </c>
      <c r="H95" s="28" t="s">
        <v>1149</v>
      </c>
      <c r="I95" s="15" t="s">
        <v>1205</v>
      </c>
      <c r="J95" s="1" t="s">
        <v>228</v>
      </c>
      <c r="K95" s="1" t="s">
        <v>222</v>
      </c>
      <c r="L95" s="1" t="s">
        <v>1533</v>
      </c>
      <c r="M95" s="1" t="s">
        <v>217</v>
      </c>
      <c r="N95" s="1" t="s">
        <v>471</v>
      </c>
      <c r="O95" s="1" t="s">
        <v>540</v>
      </c>
      <c r="P95" s="1" t="s">
        <v>457</v>
      </c>
      <c r="R95" s="1" t="s">
        <v>386</v>
      </c>
      <c r="S95" s="6" t="s">
        <v>2145</v>
      </c>
      <c r="T95" s="6" t="s">
        <v>2146</v>
      </c>
      <c r="V95" s="6" t="s">
        <v>2147</v>
      </c>
      <c r="X95" s="6" t="s">
        <v>2148</v>
      </c>
      <c r="Z95" s="1">
        <v>4</v>
      </c>
      <c r="AA95" s="1">
        <v>3</v>
      </c>
      <c r="AB95" s="7" t="s">
        <v>610</v>
      </c>
      <c r="AC95" s="1" t="s">
        <v>647</v>
      </c>
      <c r="AD95" s="1" t="s">
        <v>573</v>
      </c>
      <c r="AE95" s="7" t="s">
        <v>225</v>
      </c>
      <c r="AF95" s="6"/>
      <c r="AG95" s="6" t="s">
        <v>1534</v>
      </c>
      <c r="AH95" s="6" t="s">
        <v>1537</v>
      </c>
      <c r="AK95" s="23" cm="1">
        <f t="array" ref="AK95">_xlfn.IFS(AC95="Principles observation",1, AC95="Concept formulation",2, AC95="Proof-of-concept simulation", 3, AC95="Core function validation", 4, AC95="Integration component testing", 5, AC95="Component validation in relevant environment", 6, AC95="Subsystem demonstration in relevant environment", 7, AC95="System demonstration in operational environment", 8, AC95="Production qualification", 9, AC95="Mission-proven operations", 10)</f>
        <v>6</v>
      </c>
      <c r="AL95" s="23" cm="1">
        <f t="array" ref="AL95">_xlfn.IFS(AD95="Assistive GenAI", 1, AD95="GenAI-led with human oversight", 2, AD95="Autonomous process learning", 3)</f>
        <v>1</v>
      </c>
    </row>
    <row r="96" spans="1:38" ht="55.95" customHeight="1" x14ac:dyDescent="0.3">
      <c r="A96" s="32">
        <v>108</v>
      </c>
      <c r="B96" s="6" t="s">
        <v>1076</v>
      </c>
      <c r="C96" s="10" t="s">
        <v>1119</v>
      </c>
      <c r="D96" s="7">
        <v>2026</v>
      </c>
      <c r="E96" s="13" t="s">
        <v>65</v>
      </c>
      <c r="F96" s="7">
        <v>1</v>
      </c>
      <c r="G96" s="1" t="str">
        <f t="shared" si="6"/>
        <v>Gong, W.</v>
      </c>
      <c r="H96" s="28" t="s">
        <v>1170</v>
      </c>
      <c r="I96" s="15" t="s">
        <v>1206</v>
      </c>
      <c r="J96" s="1" t="s">
        <v>228</v>
      </c>
      <c r="K96" s="1" t="s">
        <v>222</v>
      </c>
      <c r="L96" s="1" t="s">
        <v>402</v>
      </c>
      <c r="M96" s="1" t="s">
        <v>425</v>
      </c>
      <c r="N96" s="1" t="s">
        <v>383</v>
      </c>
      <c r="O96" s="1" t="s">
        <v>419</v>
      </c>
      <c r="P96" s="1" t="s">
        <v>457</v>
      </c>
      <c r="R96" s="1" t="s">
        <v>423</v>
      </c>
      <c r="S96" s="6" t="s">
        <v>2149</v>
      </c>
      <c r="T96" s="6" t="s">
        <v>2150</v>
      </c>
      <c r="V96" s="6" t="s">
        <v>2151</v>
      </c>
      <c r="X96" s="6" t="s">
        <v>2152</v>
      </c>
      <c r="Z96" s="1">
        <v>5</v>
      </c>
      <c r="AA96" s="1">
        <v>4</v>
      </c>
      <c r="AB96" s="1" t="s">
        <v>602</v>
      </c>
      <c r="AC96" s="1" t="s">
        <v>587</v>
      </c>
      <c r="AD96" s="1" t="s">
        <v>573</v>
      </c>
      <c r="AE96" s="7" t="s">
        <v>225</v>
      </c>
      <c r="AF96" s="6"/>
      <c r="AG96" s="6" t="s">
        <v>1536</v>
      </c>
      <c r="AH96" s="6" t="s">
        <v>1535</v>
      </c>
      <c r="AK96" s="23" cm="1">
        <f t="array" ref="AK96">_xlfn.IFS(AC96="Principles observation",1, AC96="Concept formulation",2, AC96="Proof-of-concept simulation", 3, AC96="Core function validation", 4, AC96="Integration component testing", 5, AC96="Component validation in relevant environment", 6, AC96="Subsystem demonstration in relevant environment", 7, AC96="System demonstration in operational environment", 8, AC96="Production qualification", 9, AC96="Mission-proven operations", 10)</f>
        <v>3</v>
      </c>
      <c r="AL96" s="23" cm="1">
        <f t="array" ref="AL96">_xlfn.IFS(AD96="Assistive GenAI", 1, AD96="GenAI-led with human oversight", 2, AD96="Autonomous process learning", 3)</f>
        <v>1</v>
      </c>
    </row>
    <row r="97" spans="1:38" ht="55.95" customHeight="1" x14ac:dyDescent="0.3">
      <c r="A97" s="32">
        <v>111</v>
      </c>
      <c r="B97" s="6" t="s">
        <v>1078</v>
      </c>
      <c r="C97" s="10" t="s">
        <v>1121</v>
      </c>
      <c r="D97" s="7">
        <v>2026</v>
      </c>
      <c r="E97" s="13" t="s">
        <v>1138</v>
      </c>
      <c r="F97" s="7">
        <v>0</v>
      </c>
      <c r="G97" s="1" t="str">
        <f t="shared" si="6"/>
        <v>Liu, P.</v>
      </c>
      <c r="H97" s="28" t="s">
        <v>1172</v>
      </c>
      <c r="I97" s="15" t="s">
        <v>1208</v>
      </c>
      <c r="J97" s="1" t="s">
        <v>228</v>
      </c>
      <c r="K97" s="1" t="s">
        <v>222</v>
      </c>
      <c r="L97" s="1" t="s">
        <v>402</v>
      </c>
      <c r="M97" s="1" t="s">
        <v>425</v>
      </c>
      <c r="N97" s="1" t="s">
        <v>383</v>
      </c>
      <c r="O97" s="1" t="s">
        <v>226</v>
      </c>
      <c r="P97" s="1" t="s">
        <v>389</v>
      </c>
      <c r="R97" s="1" t="s">
        <v>483</v>
      </c>
      <c r="S97" s="6" t="s">
        <v>2153</v>
      </c>
      <c r="T97" s="6" t="s">
        <v>2154</v>
      </c>
      <c r="V97" s="6" t="s">
        <v>2155</v>
      </c>
      <c r="X97" s="6" t="s">
        <v>2156</v>
      </c>
      <c r="Z97" s="1">
        <v>5</v>
      </c>
      <c r="AA97" s="1">
        <v>4</v>
      </c>
      <c r="AB97" s="7" t="s">
        <v>566</v>
      </c>
      <c r="AC97" s="1" t="s">
        <v>590</v>
      </c>
      <c r="AD97" s="1" t="s">
        <v>573</v>
      </c>
      <c r="AE97" s="7" t="s">
        <v>225</v>
      </c>
      <c r="AF97" s="6"/>
      <c r="AG97" s="6" t="s">
        <v>1539</v>
      </c>
      <c r="AH97" s="6" t="s">
        <v>1540</v>
      </c>
      <c r="AK97" s="23" cm="1">
        <f t="array" ref="AK97">_xlfn.IFS(AC97="Principles observation",1, AC97="Concept formulation",2, AC97="Proof-of-concept simulation", 3, AC97="Core function validation", 4, AC97="Integration component testing", 5, AC97="Component validation in relevant environment", 6, AC97="Subsystem demonstration in relevant environment", 7, AC97="System demonstration in operational environment", 8, AC97="Production qualification", 9, AC97="Mission-proven operations", 10)</f>
        <v>5</v>
      </c>
      <c r="AL97" s="23" cm="1">
        <f t="array" ref="AL97">_xlfn.IFS(AD97="Assistive GenAI", 1, AD97="GenAI-led with human oversight", 2, AD97="Autonomous process learning", 3)</f>
        <v>1</v>
      </c>
    </row>
    <row r="98" spans="1:38" ht="55.95" customHeight="1" x14ac:dyDescent="0.3">
      <c r="A98" s="32">
        <v>112</v>
      </c>
      <c r="B98" s="6" t="s">
        <v>1079</v>
      </c>
      <c r="C98" s="10" t="s">
        <v>1122</v>
      </c>
      <c r="D98" s="7">
        <v>2026</v>
      </c>
      <c r="E98" s="13" t="s">
        <v>317</v>
      </c>
      <c r="F98" s="7">
        <v>0</v>
      </c>
      <c r="G98" s="1" t="str">
        <f t="shared" ref="G98:G134" si="7">IFERROR(LEFT(C98, FIND(";", C98) - 1), C98)</f>
        <v>Fan, S.-K.S.</v>
      </c>
      <c r="H98" s="28" t="s">
        <v>1150</v>
      </c>
      <c r="I98" s="15" t="s">
        <v>1209</v>
      </c>
      <c r="J98" s="1" t="s">
        <v>228</v>
      </c>
      <c r="K98" s="1" t="s">
        <v>222</v>
      </c>
      <c r="L98" s="1" t="s">
        <v>402</v>
      </c>
      <c r="M98" s="1" t="s">
        <v>425</v>
      </c>
      <c r="N98" s="1" t="s">
        <v>383</v>
      </c>
      <c r="O98" s="1" t="s">
        <v>1523</v>
      </c>
      <c r="P98" s="1" t="s">
        <v>1541</v>
      </c>
      <c r="R98" s="1" t="s">
        <v>423</v>
      </c>
      <c r="S98" s="6" t="s">
        <v>2157</v>
      </c>
      <c r="T98" s="6" t="s">
        <v>2158</v>
      </c>
      <c r="V98" s="6" t="s">
        <v>2159</v>
      </c>
      <c r="X98" s="6" t="s">
        <v>2160</v>
      </c>
      <c r="Z98" s="1">
        <v>5</v>
      </c>
      <c r="AA98" s="1">
        <v>4</v>
      </c>
      <c r="AB98" s="7" t="s">
        <v>566</v>
      </c>
      <c r="AC98" s="1" t="s">
        <v>590</v>
      </c>
      <c r="AD98" s="1" t="s">
        <v>574</v>
      </c>
      <c r="AE98" s="7" t="s">
        <v>225</v>
      </c>
      <c r="AF98" s="6"/>
      <c r="AG98" s="6" t="s">
        <v>1542</v>
      </c>
      <c r="AH98" s="6" t="s">
        <v>1543</v>
      </c>
      <c r="AK98" s="23" cm="1">
        <f t="array" ref="AK98">_xlfn.IFS(AC98="Principles observation",1, AC98="Concept formulation",2, AC98="Proof-of-concept simulation", 3, AC98="Core function validation", 4, AC98="Integration component testing", 5, AC98="Component validation in relevant environment", 6, AC98="Subsystem demonstration in relevant environment", 7, AC98="System demonstration in operational environment", 8, AC98="Production qualification", 9, AC98="Mission-proven operations", 10)</f>
        <v>5</v>
      </c>
      <c r="AL98" s="23" cm="1">
        <f t="array" ref="AL98">_xlfn.IFS(AD98="Assistive GenAI", 1, AD98="GenAI-led with human oversight", 2, AD98="Autonomous process learning", 3)</f>
        <v>2</v>
      </c>
    </row>
    <row r="99" spans="1:38" ht="55.95" customHeight="1" x14ac:dyDescent="0.3">
      <c r="A99" s="32">
        <v>114</v>
      </c>
      <c r="B99" s="6" t="s">
        <v>1080</v>
      </c>
      <c r="C99" s="10" t="s">
        <v>1123</v>
      </c>
      <c r="D99" s="7">
        <v>2026</v>
      </c>
      <c r="E99" s="13" t="s">
        <v>59</v>
      </c>
      <c r="F99" s="7">
        <v>1</v>
      </c>
      <c r="G99" s="1" t="str">
        <f t="shared" si="7"/>
        <v>Zhao, Z.</v>
      </c>
      <c r="H99" s="28" t="s">
        <v>1147</v>
      </c>
      <c r="I99" s="15" t="s">
        <v>1210</v>
      </c>
      <c r="J99" s="1" t="s">
        <v>228</v>
      </c>
      <c r="K99" s="1" t="s">
        <v>222</v>
      </c>
      <c r="L99" s="1" t="s">
        <v>402</v>
      </c>
      <c r="M99" s="1" t="s">
        <v>425</v>
      </c>
      <c r="N99" s="1" t="s">
        <v>471</v>
      </c>
      <c r="O99" s="1" t="s">
        <v>540</v>
      </c>
      <c r="P99" s="1" t="s">
        <v>457</v>
      </c>
      <c r="R99" s="1" t="s">
        <v>423</v>
      </c>
      <c r="S99" s="6" t="s">
        <v>2161</v>
      </c>
      <c r="T99" s="6" t="s">
        <v>2162</v>
      </c>
      <c r="V99" s="6" t="s">
        <v>2163</v>
      </c>
      <c r="X99" s="6" t="s">
        <v>2164</v>
      </c>
      <c r="Z99" s="1">
        <v>5</v>
      </c>
      <c r="AA99" s="1">
        <v>5</v>
      </c>
      <c r="AB99" s="7" t="s">
        <v>566</v>
      </c>
      <c r="AC99" s="1" t="s">
        <v>590</v>
      </c>
      <c r="AD99" s="1" t="s">
        <v>575</v>
      </c>
      <c r="AE99" s="7" t="s">
        <v>218</v>
      </c>
      <c r="AF99" s="6" t="s">
        <v>743</v>
      </c>
      <c r="AG99" s="6" t="s">
        <v>1545</v>
      </c>
      <c r="AH99" s="6" t="s">
        <v>1544</v>
      </c>
      <c r="AI99" s="6" t="s">
        <v>1546</v>
      </c>
      <c r="AK99" s="23" cm="1">
        <f t="array" ref="AK99">_xlfn.IFS(AC99="Principles observation",1, AC99="Concept formulation",2, AC99="Proof-of-concept simulation", 3, AC99="Core function validation", 4, AC99="Integration component testing", 5, AC99="Component validation in relevant environment", 6, AC99="Subsystem demonstration in relevant environment", 7, AC99="System demonstration in operational environment", 8, AC99="Production qualification", 9, AC99="Mission-proven operations", 10)</f>
        <v>5</v>
      </c>
      <c r="AL99" s="23" cm="1">
        <f t="array" ref="AL99">_xlfn.IFS(AD99="Assistive GenAI", 1, AD99="GenAI-led with human oversight", 2, AD99="Autonomous process learning", 3)</f>
        <v>3</v>
      </c>
    </row>
    <row r="100" spans="1:38" ht="55.95" customHeight="1" x14ac:dyDescent="0.3">
      <c r="A100" s="32">
        <v>115</v>
      </c>
      <c r="B100" s="6" t="s">
        <v>1081</v>
      </c>
      <c r="C100" s="10" t="s">
        <v>1124</v>
      </c>
      <c r="D100" s="7">
        <v>2025</v>
      </c>
      <c r="E100" s="13" t="s">
        <v>1139</v>
      </c>
      <c r="F100" s="7">
        <v>0</v>
      </c>
      <c r="G100" s="1" t="str">
        <f t="shared" si="7"/>
        <v>Liu, J.</v>
      </c>
      <c r="H100" s="28" t="s">
        <v>1173</v>
      </c>
      <c r="I100" s="15" t="s">
        <v>1211</v>
      </c>
      <c r="J100" s="1" t="s">
        <v>228</v>
      </c>
      <c r="K100" s="1" t="s">
        <v>222</v>
      </c>
      <c r="L100" s="1" t="s">
        <v>402</v>
      </c>
      <c r="M100" s="1" t="s">
        <v>425</v>
      </c>
      <c r="N100" s="1" t="s">
        <v>383</v>
      </c>
      <c r="O100" s="1" t="s">
        <v>498</v>
      </c>
      <c r="R100" s="1" t="s">
        <v>1547</v>
      </c>
      <c r="S100" s="6" t="s">
        <v>2165</v>
      </c>
      <c r="T100" s="6" t="s">
        <v>2166</v>
      </c>
      <c r="V100" s="6" t="s">
        <v>2167</v>
      </c>
      <c r="X100" s="6" t="s">
        <v>2168</v>
      </c>
      <c r="Z100" s="1">
        <v>5</v>
      </c>
      <c r="AA100" s="1">
        <v>4</v>
      </c>
      <c r="AB100" s="1" t="s">
        <v>602</v>
      </c>
      <c r="AC100" s="1" t="s">
        <v>587</v>
      </c>
      <c r="AD100" s="1" t="s">
        <v>573</v>
      </c>
      <c r="AE100" s="7" t="s">
        <v>225</v>
      </c>
      <c r="AF100" s="6"/>
      <c r="AG100" s="6" t="s">
        <v>1548</v>
      </c>
      <c r="AH100" s="6" t="s">
        <v>1549</v>
      </c>
      <c r="AK100" s="23" cm="1">
        <f t="array" ref="AK100">_xlfn.IFS(AC100="Principles observation",1, AC100="Concept formulation",2, AC100="Proof-of-concept simulation", 3, AC100="Core function validation", 4, AC100="Integration component testing", 5, AC100="Component validation in relevant environment", 6, AC100="Subsystem demonstration in relevant environment", 7, AC100="System demonstration in operational environment", 8, AC100="Production qualification", 9, AC100="Mission-proven operations", 10)</f>
        <v>3</v>
      </c>
      <c r="AL100" s="23" cm="1">
        <f t="array" ref="AL100">_xlfn.IFS(AD100="Assistive GenAI", 1, AD100="GenAI-led with human oversight", 2, AD100="Autonomous process learning", 3)</f>
        <v>1</v>
      </c>
    </row>
    <row r="101" spans="1:38" ht="55.95" customHeight="1" x14ac:dyDescent="0.3">
      <c r="A101" s="32">
        <v>117</v>
      </c>
      <c r="B101" s="6" t="s">
        <v>1082</v>
      </c>
      <c r="C101" s="10" t="s">
        <v>1125</v>
      </c>
      <c r="D101" s="7">
        <v>2025</v>
      </c>
      <c r="E101" s="13" t="s">
        <v>66</v>
      </c>
      <c r="F101" s="7">
        <v>0</v>
      </c>
      <c r="G101" s="1" t="str">
        <f t="shared" si="7"/>
        <v>Chen, T.-C.T.</v>
      </c>
      <c r="H101" s="28" t="s">
        <v>1174</v>
      </c>
      <c r="I101" s="15" t="s">
        <v>1212</v>
      </c>
      <c r="J101" s="1" t="s">
        <v>228</v>
      </c>
      <c r="K101" s="1" t="s">
        <v>222</v>
      </c>
      <c r="L101" s="1" t="s">
        <v>402</v>
      </c>
      <c r="M101" s="1" t="s">
        <v>425</v>
      </c>
      <c r="N101" s="1" t="s">
        <v>471</v>
      </c>
      <c r="O101" s="1" t="s">
        <v>540</v>
      </c>
      <c r="P101" s="1" t="s">
        <v>457</v>
      </c>
      <c r="R101" s="1" t="s">
        <v>386</v>
      </c>
      <c r="S101" s="6" t="s">
        <v>2169</v>
      </c>
      <c r="T101" s="6" t="s">
        <v>2170</v>
      </c>
      <c r="V101" s="6" t="s">
        <v>2171</v>
      </c>
      <c r="X101" s="6" t="s">
        <v>2172</v>
      </c>
      <c r="Z101" s="1">
        <v>4</v>
      </c>
      <c r="AA101" s="1">
        <v>5</v>
      </c>
      <c r="AB101" s="7" t="s">
        <v>610</v>
      </c>
      <c r="AC101" s="1" t="s">
        <v>647</v>
      </c>
      <c r="AD101" s="1" t="s">
        <v>574</v>
      </c>
      <c r="AE101" s="7" t="s">
        <v>225</v>
      </c>
      <c r="AF101" s="6"/>
      <c r="AG101" s="6" t="s">
        <v>1550</v>
      </c>
      <c r="AH101" s="6" t="s">
        <v>1551</v>
      </c>
      <c r="AK101" s="23" cm="1">
        <f t="array" ref="AK101">_xlfn.IFS(AC101="Principles observation",1, AC101="Concept formulation",2, AC101="Proof-of-concept simulation", 3, AC101="Core function validation", 4, AC101="Integration component testing", 5, AC101="Component validation in relevant environment", 6, AC101="Subsystem demonstration in relevant environment", 7, AC101="System demonstration in operational environment", 8, AC101="Production qualification", 9, AC101="Mission-proven operations", 10)</f>
        <v>6</v>
      </c>
      <c r="AL101" s="23" cm="1">
        <f t="array" ref="AL101">_xlfn.IFS(AD101="Assistive GenAI", 1, AD101="GenAI-led with human oversight", 2, AD101="Autonomous process learning", 3)</f>
        <v>2</v>
      </c>
    </row>
    <row r="102" spans="1:38" ht="55.95" customHeight="1" x14ac:dyDescent="0.3">
      <c r="A102" s="32">
        <v>118</v>
      </c>
      <c r="B102" s="6" t="s">
        <v>1083</v>
      </c>
      <c r="C102" s="10" t="s">
        <v>1126</v>
      </c>
      <c r="D102" s="7">
        <v>2025</v>
      </c>
      <c r="E102" s="13" t="s">
        <v>58</v>
      </c>
      <c r="F102" s="7">
        <v>0</v>
      </c>
      <c r="G102" s="1" t="str">
        <f t="shared" si="7"/>
        <v>Dong, W.</v>
      </c>
      <c r="H102" s="28" t="s">
        <v>1175</v>
      </c>
      <c r="I102" s="15" t="s">
        <v>1213</v>
      </c>
      <c r="J102" s="1" t="s">
        <v>228</v>
      </c>
      <c r="K102" s="1" t="s">
        <v>222</v>
      </c>
      <c r="L102" s="1" t="s">
        <v>402</v>
      </c>
      <c r="M102" s="1" t="s">
        <v>425</v>
      </c>
      <c r="N102" s="1" t="s">
        <v>383</v>
      </c>
      <c r="O102" s="1" t="s">
        <v>393</v>
      </c>
      <c r="P102" s="1" t="s">
        <v>389</v>
      </c>
      <c r="R102" s="1" t="s">
        <v>423</v>
      </c>
      <c r="S102" s="6" t="s">
        <v>2173</v>
      </c>
      <c r="T102" s="6" t="s">
        <v>2174</v>
      </c>
      <c r="V102" s="6" t="s">
        <v>2175</v>
      </c>
      <c r="X102" s="6" t="s">
        <v>2176</v>
      </c>
      <c r="Z102" s="1">
        <v>5</v>
      </c>
      <c r="AA102" s="1">
        <v>4</v>
      </c>
      <c r="AB102" s="7" t="s">
        <v>566</v>
      </c>
      <c r="AC102" s="1" t="s">
        <v>590</v>
      </c>
      <c r="AD102" s="1" t="s">
        <v>574</v>
      </c>
      <c r="AE102" s="7" t="s">
        <v>225</v>
      </c>
      <c r="AF102" s="6"/>
      <c r="AG102" s="6" t="s">
        <v>1552</v>
      </c>
      <c r="AH102" s="6" t="s">
        <v>1553</v>
      </c>
      <c r="AK102" s="23" cm="1">
        <f t="array" ref="AK102">_xlfn.IFS(AC102="Principles observation",1, AC102="Concept formulation",2, AC102="Proof-of-concept simulation", 3, AC102="Core function validation", 4, AC102="Integration component testing", 5, AC102="Component validation in relevant environment", 6, AC102="Subsystem demonstration in relevant environment", 7, AC102="System demonstration in operational environment", 8, AC102="Production qualification", 9, AC102="Mission-proven operations", 10)</f>
        <v>5</v>
      </c>
      <c r="AL102" s="23" cm="1">
        <f t="array" ref="AL102">_xlfn.IFS(AD102="Assistive GenAI", 1, AD102="GenAI-led with human oversight", 2, AD102="Autonomous process learning", 3)</f>
        <v>2</v>
      </c>
    </row>
    <row r="103" spans="1:38" ht="55.95" customHeight="1" x14ac:dyDescent="0.3">
      <c r="A103" s="32">
        <v>119</v>
      </c>
      <c r="B103" s="6" t="s">
        <v>1085</v>
      </c>
      <c r="C103" s="10" t="s">
        <v>1128</v>
      </c>
      <c r="D103" s="7">
        <v>2025</v>
      </c>
      <c r="E103" s="13" t="s">
        <v>58</v>
      </c>
      <c r="F103" s="7">
        <v>0</v>
      </c>
      <c r="G103" s="1" t="str">
        <f t="shared" si="7"/>
        <v>Gui, H.</v>
      </c>
      <c r="H103" s="28" t="s">
        <v>1175</v>
      </c>
      <c r="I103" s="15" t="s">
        <v>1215</v>
      </c>
      <c r="J103" s="1" t="s">
        <v>228</v>
      </c>
      <c r="K103" s="1" t="s">
        <v>222</v>
      </c>
      <c r="L103" s="1" t="s">
        <v>402</v>
      </c>
      <c r="M103" s="1" t="s">
        <v>425</v>
      </c>
      <c r="N103" s="1" t="s">
        <v>224</v>
      </c>
      <c r="O103" s="1" t="s">
        <v>385</v>
      </c>
      <c r="P103" s="1" t="s">
        <v>422</v>
      </c>
      <c r="R103" s="1" t="s">
        <v>532</v>
      </c>
      <c r="S103" s="6" t="s">
        <v>2177</v>
      </c>
      <c r="T103" s="6" t="s">
        <v>2178</v>
      </c>
      <c r="V103" s="6" t="s">
        <v>2179</v>
      </c>
      <c r="X103" s="6" t="s">
        <v>2180</v>
      </c>
      <c r="Z103" s="1">
        <v>4</v>
      </c>
      <c r="AA103" s="1">
        <v>4</v>
      </c>
      <c r="AB103" s="7" t="s">
        <v>566</v>
      </c>
      <c r="AC103" s="1" t="s">
        <v>590</v>
      </c>
      <c r="AD103" s="1" t="s">
        <v>574</v>
      </c>
      <c r="AE103" s="7" t="s">
        <v>225</v>
      </c>
      <c r="AF103" s="6"/>
      <c r="AG103" s="6" t="s">
        <v>1554</v>
      </c>
      <c r="AH103" s="6" t="s">
        <v>1555</v>
      </c>
      <c r="AK103" s="23" cm="1">
        <f t="array" ref="AK103">_xlfn.IFS(AC103="Principles observation",1, AC103="Concept formulation",2, AC103="Proof-of-concept simulation", 3, AC103="Core function validation", 4, AC103="Integration component testing", 5, AC103="Component validation in relevant environment", 6, AC103="Subsystem demonstration in relevant environment", 7, AC103="System demonstration in operational environment", 8, AC103="Production qualification", 9, AC103="Mission-proven operations", 10)</f>
        <v>5</v>
      </c>
      <c r="AL103" s="23" cm="1">
        <f t="array" ref="AL103">_xlfn.IFS(AD103="Assistive GenAI", 1, AD103="GenAI-led with human oversight", 2, AD103="Autonomous process learning", 3)</f>
        <v>2</v>
      </c>
    </row>
    <row r="104" spans="1:38" ht="55.95" customHeight="1" x14ac:dyDescent="0.3">
      <c r="A104" s="32">
        <v>120</v>
      </c>
      <c r="B104" s="6" t="s">
        <v>1086</v>
      </c>
      <c r="C104" s="10" t="s">
        <v>1129</v>
      </c>
      <c r="D104" s="7">
        <v>2025</v>
      </c>
      <c r="E104" s="13" t="s">
        <v>58</v>
      </c>
      <c r="F104" s="7">
        <v>0</v>
      </c>
      <c r="G104" s="1" t="str">
        <f t="shared" si="7"/>
        <v>Lee, J.</v>
      </c>
      <c r="H104" s="28" t="s">
        <v>1177</v>
      </c>
      <c r="I104" s="15" t="s">
        <v>1216</v>
      </c>
      <c r="J104" s="1" t="s">
        <v>228</v>
      </c>
      <c r="K104" s="1" t="s">
        <v>222</v>
      </c>
      <c r="L104" s="1" t="s">
        <v>402</v>
      </c>
      <c r="M104" s="1" t="s">
        <v>425</v>
      </c>
      <c r="N104" s="1" t="s">
        <v>383</v>
      </c>
      <c r="O104" s="1" t="s">
        <v>1523</v>
      </c>
      <c r="P104" s="1" t="s">
        <v>1556</v>
      </c>
      <c r="R104" s="1" t="s">
        <v>423</v>
      </c>
      <c r="S104" s="6" t="s">
        <v>2181</v>
      </c>
      <c r="T104" s="6" t="s">
        <v>2182</v>
      </c>
      <c r="V104" s="6" t="s">
        <v>2183</v>
      </c>
      <c r="X104" s="6" t="s">
        <v>2184</v>
      </c>
      <c r="Z104" s="1">
        <v>4</v>
      </c>
      <c r="AA104" s="1">
        <v>5</v>
      </c>
      <c r="AB104" s="7" t="s">
        <v>610</v>
      </c>
      <c r="AC104" s="1" t="s">
        <v>647</v>
      </c>
      <c r="AD104" s="1" t="s">
        <v>574</v>
      </c>
      <c r="AE104" s="7" t="s">
        <v>225</v>
      </c>
      <c r="AF104" s="6"/>
      <c r="AG104" s="6" t="s">
        <v>1557</v>
      </c>
      <c r="AH104" s="6" t="s">
        <v>1558</v>
      </c>
      <c r="AK104" s="23" cm="1">
        <f t="array" ref="AK104">_xlfn.IFS(AC104="Principles observation",1, AC104="Concept formulation",2, AC104="Proof-of-concept simulation", 3, AC104="Core function validation", 4, AC104="Integration component testing", 5, AC104="Component validation in relevant environment", 6, AC104="Subsystem demonstration in relevant environment", 7, AC104="System demonstration in operational environment", 8, AC104="Production qualification", 9, AC104="Mission-proven operations", 10)</f>
        <v>6</v>
      </c>
      <c r="AL104" s="23" cm="1">
        <f t="array" ref="AL104">_xlfn.IFS(AD104="Assistive GenAI", 1, AD104="GenAI-led with human oversight", 2, AD104="Autonomous process learning", 3)</f>
        <v>2</v>
      </c>
    </row>
    <row r="105" spans="1:38" ht="55.95" customHeight="1" x14ac:dyDescent="0.3">
      <c r="A105" s="32">
        <v>122</v>
      </c>
      <c r="B105" s="6" t="s">
        <v>1088</v>
      </c>
      <c r="C105" s="10" t="s">
        <v>1131</v>
      </c>
      <c r="D105" s="7">
        <v>2025</v>
      </c>
      <c r="E105" s="13" t="s">
        <v>58</v>
      </c>
      <c r="F105" s="7">
        <v>0</v>
      </c>
      <c r="G105" s="1" t="str">
        <f t="shared" si="7"/>
        <v>Lin, J.</v>
      </c>
      <c r="H105" s="28" t="s">
        <v>1151</v>
      </c>
      <c r="I105" s="15" t="s">
        <v>1218</v>
      </c>
      <c r="J105" s="1" t="s">
        <v>228</v>
      </c>
      <c r="K105" s="1" t="s">
        <v>222</v>
      </c>
      <c r="L105" s="1" t="s">
        <v>402</v>
      </c>
      <c r="M105" s="1" t="s">
        <v>425</v>
      </c>
      <c r="N105" s="1" t="s">
        <v>383</v>
      </c>
      <c r="O105" s="1" t="s">
        <v>226</v>
      </c>
      <c r="P105" s="1" t="s">
        <v>457</v>
      </c>
      <c r="R105" s="1" t="s">
        <v>1562</v>
      </c>
      <c r="S105" s="6" t="s">
        <v>2185</v>
      </c>
      <c r="T105" s="6" t="s">
        <v>2186</v>
      </c>
      <c r="V105" s="6" t="s">
        <v>2187</v>
      </c>
      <c r="X105" s="6" t="s">
        <v>2188</v>
      </c>
      <c r="Z105" s="1">
        <v>4</v>
      </c>
      <c r="AA105" s="1">
        <v>4</v>
      </c>
      <c r="AB105" s="7" t="s">
        <v>566</v>
      </c>
      <c r="AC105" s="1" t="s">
        <v>590</v>
      </c>
      <c r="AD105" s="1" t="s">
        <v>573</v>
      </c>
      <c r="AE105" s="7" t="s">
        <v>225</v>
      </c>
      <c r="AF105" s="6"/>
      <c r="AG105" s="6" t="s">
        <v>1563</v>
      </c>
      <c r="AH105" s="6" t="s">
        <v>1564</v>
      </c>
      <c r="AK105" s="23" cm="1">
        <f t="array" ref="AK105">_xlfn.IFS(AC105="Principles observation",1, AC105="Concept formulation",2, AC105="Proof-of-concept simulation", 3, AC105="Core function validation", 4, AC105="Integration component testing", 5, AC105="Component validation in relevant environment", 6, AC105="Subsystem demonstration in relevant environment", 7, AC105="System demonstration in operational environment", 8, AC105="Production qualification", 9, AC105="Mission-proven operations", 10)</f>
        <v>5</v>
      </c>
      <c r="AL105" s="23" cm="1">
        <f t="array" ref="AL105">_xlfn.IFS(AD105="Assistive GenAI", 1, AD105="GenAI-led with human oversight", 2, AD105="Autonomous process learning", 3)</f>
        <v>1</v>
      </c>
    </row>
    <row r="106" spans="1:38" ht="55.95" customHeight="1" x14ac:dyDescent="0.3">
      <c r="A106" s="32">
        <v>123</v>
      </c>
      <c r="B106" s="6" t="s">
        <v>1089</v>
      </c>
      <c r="C106" s="10" t="s">
        <v>1132</v>
      </c>
      <c r="D106" s="7">
        <v>2025</v>
      </c>
      <c r="E106" s="13" t="s">
        <v>1138</v>
      </c>
      <c r="F106" s="7">
        <v>0</v>
      </c>
      <c r="G106" s="1" t="str">
        <f t="shared" si="7"/>
        <v>Gu, S.</v>
      </c>
      <c r="H106" s="28" t="s">
        <v>1179</v>
      </c>
      <c r="I106" s="15" t="s">
        <v>1219</v>
      </c>
      <c r="J106" s="1" t="s">
        <v>228</v>
      </c>
      <c r="K106" s="1" t="s">
        <v>222</v>
      </c>
      <c r="L106" s="1" t="s">
        <v>402</v>
      </c>
      <c r="M106" s="1" t="s">
        <v>425</v>
      </c>
      <c r="N106" s="1" t="s">
        <v>383</v>
      </c>
      <c r="O106" s="1" t="s">
        <v>498</v>
      </c>
      <c r="P106" s="1" t="s">
        <v>1565</v>
      </c>
      <c r="R106" s="1" t="s">
        <v>532</v>
      </c>
      <c r="S106" s="6" t="s">
        <v>2189</v>
      </c>
      <c r="T106" s="6" t="s">
        <v>2190</v>
      </c>
      <c r="V106" s="6" t="s">
        <v>2191</v>
      </c>
      <c r="X106" s="6" t="s">
        <v>2192</v>
      </c>
      <c r="Z106" s="1">
        <v>4</v>
      </c>
      <c r="AA106" s="1">
        <v>4</v>
      </c>
      <c r="AB106" s="7" t="s">
        <v>566</v>
      </c>
      <c r="AC106" s="1" t="s">
        <v>578</v>
      </c>
      <c r="AD106" s="1" t="s">
        <v>573</v>
      </c>
      <c r="AE106" s="7" t="s">
        <v>225</v>
      </c>
      <c r="AF106" s="6"/>
      <c r="AG106" s="6" t="s">
        <v>1566</v>
      </c>
      <c r="AH106" s="6" t="s">
        <v>1567</v>
      </c>
      <c r="AK106" s="23" cm="1">
        <f t="array" ref="AK106">_xlfn.IFS(AC106="Principles observation",1, AC106="Concept formulation",2, AC106="Proof-of-concept simulation", 3, AC106="Core function validation", 4, AC106="Integration component testing", 5, AC106="Component validation in relevant environment", 6, AC106="Subsystem demonstration in relevant environment", 7, AC106="System demonstration in operational environment", 8, AC106="Production qualification", 9, AC106="Mission-proven operations", 10)</f>
        <v>4</v>
      </c>
      <c r="AL106" s="23" cm="1">
        <f t="array" ref="AL106">_xlfn.IFS(AD106="Assistive GenAI", 1, AD106="GenAI-led with human oversight", 2, AD106="Autonomous process learning", 3)</f>
        <v>1</v>
      </c>
    </row>
    <row r="107" spans="1:38" ht="55.95" customHeight="1" x14ac:dyDescent="0.3">
      <c r="A107" s="32">
        <v>125</v>
      </c>
      <c r="B107" s="6" t="s">
        <v>1091</v>
      </c>
      <c r="C107" s="10" t="s">
        <v>1134</v>
      </c>
      <c r="D107" s="7">
        <v>2025</v>
      </c>
      <c r="E107" s="13" t="s">
        <v>1141</v>
      </c>
      <c r="F107" s="7">
        <v>1</v>
      </c>
      <c r="G107" s="1" t="str">
        <f t="shared" si="7"/>
        <v>Karabiyik, M.A.</v>
      </c>
      <c r="H107" s="28" t="s">
        <v>1153</v>
      </c>
      <c r="I107" s="15" t="s">
        <v>1221</v>
      </c>
      <c r="J107" s="1" t="s">
        <v>228</v>
      </c>
      <c r="K107" s="1" t="s">
        <v>222</v>
      </c>
      <c r="L107" s="1" t="s">
        <v>402</v>
      </c>
      <c r="M107" s="1" t="s">
        <v>425</v>
      </c>
      <c r="N107" s="1" t="s">
        <v>383</v>
      </c>
      <c r="O107" s="1" t="s">
        <v>460</v>
      </c>
      <c r="P107" s="1" t="s">
        <v>1568</v>
      </c>
      <c r="R107" s="1" t="s">
        <v>386</v>
      </c>
      <c r="S107" s="6" t="s">
        <v>2193</v>
      </c>
      <c r="T107" s="6" t="s">
        <v>2194</v>
      </c>
      <c r="V107" s="6" t="s">
        <v>2195</v>
      </c>
      <c r="X107" s="6" t="s">
        <v>2196</v>
      </c>
      <c r="Z107" s="1">
        <v>4</v>
      </c>
      <c r="AA107" s="1">
        <v>3</v>
      </c>
      <c r="AB107" s="7" t="s">
        <v>566</v>
      </c>
      <c r="AC107" s="1" t="s">
        <v>590</v>
      </c>
      <c r="AD107" s="1" t="s">
        <v>573</v>
      </c>
      <c r="AE107" s="7" t="s">
        <v>225</v>
      </c>
      <c r="AF107" s="6"/>
      <c r="AG107" s="6" t="s">
        <v>1569</v>
      </c>
      <c r="AH107" s="6" t="s">
        <v>1570</v>
      </c>
      <c r="AK107" s="23" cm="1">
        <f t="array" ref="AK107">_xlfn.IFS(AC107="Principles observation",1, AC107="Concept formulation",2, AC107="Proof-of-concept simulation", 3, AC107="Core function validation", 4, AC107="Integration component testing", 5, AC107="Component validation in relevant environment", 6, AC107="Subsystem demonstration in relevant environment", 7, AC107="System demonstration in operational environment", 8, AC107="Production qualification", 9, AC107="Mission-proven operations", 10)</f>
        <v>5</v>
      </c>
      <c r="AL107" s="23" cm="1">
        <f t="array" ref="AL107">_xlfn.IFS(AD107="Assistive GenAI", 1, AD107="GenAI-led with human oversight", 2, AD107="Autonomous process learning", 3)</f>
        <v>1</v>
      </c>
    </row>
    <row r="108" spans="1:38" ht="55.95" customHeight="1" x14ac:dyDescent="0.3">
      <c r="A108" s="32">
        <v>127</v>
      </c>
      <c r="B108" s="6" t="s">
        <v>1223</v>
      </c>
      <c r="C108" s="10" t="s">
        <v>1238</v>
      </c>
      <c r="D108" s="7">
        <v>2025</v>
      </c>
      <c r="E108" s="13" t="s">
        <v>58</v>
      </c>
      <c r="F108" s="7">
        <v>0</v>
      </c>
      <c r="G108" s="1" t="str">
        <f t="shared" si="7"/>
        <v>Li, C.</v>
      </c>
      <c r="H108" s="28" t="s">
        <v>1252</v>
      </c>
      <c r="I108" s="15" t="s">
        <v>1262</v>
      </c>
      <c r="J108" s="1" t="s">
        <v>228</v>
      </c>
      <c r="K108" s="1" t="s">
        <v>222</v>
      </c>
      <c r="L108" s="1" t="s">
        <v>402</v>
      </c>
      <c r="M108" s="1" t="s">
        <v>425</v>
      </c>
      <c r="N108" s="1" t="s">
        <v>471</v>
      </c>
      <c r="O108" s="1" t="s">
        <v>481</v>
      </c>
      <c r="P108" s="1" t="s">
        <v>398</v>
      </c>
      <c r="R108" s="1" t="s">
        <v>1571</v>
      </c>
      <c r="S108" s="6" t="s">
        <v>2197</v>
      </c>
      <c r="T108" s="6" t="s">
        <v>2198</v>
      </c>
      <c r="V108" s="6" t="s">
        <v>2199</v>
      </c>
      <c r="X108" s="6" t="s">
        <v>2200</v>
      </c>
      <c r="Z108" s="1">
        <v>3</v>
      </c>
      <c r="AA108" s="1">
        <v>3</v>
      </c>
      <c r="AB108" s="7" t="s">
        <v>566</v>
      </c>
      <c r="AC108" s="1" t="s">
        <v>590</v>
      </c>
      <c r="AD108" s="1" t="s">
        <v>574</v>
      </c>
      <c r="AE108" s="7" t="s">
        <v>225</v>
      </c>
      <c r="AF108" s="6"/>
      <c r="AG108" s="6" t="s">
        <v>1572</v>
      </c>
      <c r="AH108" s="6" t="s">
        <v>1573</v>
      </c>
      <c r="AK108" s="23" cm="1">
        <f t="array" ref="AK108">_xlfn.IFS(AC108="Principles observation",1, AC108="Concept formulation",2, AC108="Proof-of-concept simulation", 3, AC108="Core function validation", 4, AC108="Integration component testing", 5, AC108="Component validation in relevant environment", 6, AC108="Subsystem demonstration in relevant environment", 7, AC108="System demonstration in operational environment", 8, AC108="Production qualification", 9, AC108="Mission-proven operations", 10)</f>
        <v>5</v>
      </c>
      <c r="AL108" s="23" cm="1">
        <f t="array" ref="AL108">_xlfn.IFS(AD108="Assistive GenAI", 1, AD108="GenAI-led with human oversight", 2, AD108="Autonomous process learning", 3)</f>
        <v>2</v>
      </c>
    </row>
    <row r="109" spans="1:38" ht="55.95" customHeight="1" x14ac:dyDescent="0.3">
      <c r="A109" s="32">
        <v>128</v>
      </c>
      <c r="B109" s="6" t="s">
        <v>1225</v>
      </c>
      <c r="C109" s="10" t="s">
        <v>1240</v>
      </c>
      <c r="D109" s="7">
        <v>2025</v>
      </c>
      <c r="E109" s="13" t="s">
        <v>65</v>
      </c>
      <c r="F109" s="7">
        <v>0</v>
      </c>
      <c r="G109" s="1" t="str">
        <f t="shared" si="7"/>
        <v>Karapanagiotis, P.</v>
      </c>
      <c r="H109" s="28" t="s">
        <v>1254</v>
      </c>
      <c r="I109" s="15" t="s">
        <v>1264</v>
      </c>
      <c r="J109" s="1" t="s">
        <v>228</v>
      </c>
      <c r="K109" s="1" t="s">
        <v>222</v>
      </c>
      <c r="L109" s="1" t="s">
        <v>402</v>
      </c>
      <c r="M109" s="1" t="s">
        <v>425</v>
      </c>
      <c r="N109" s="1" t="s">
        <v>471</v>
      </c>
      <c r="O109" s="1" t="s">
        <v>393</v>
      </c>
      <c r="P109" s="1" t="s">
        <v>1574</v>
      </c>
      <c r="R109" s="1" t="s">
        <v>386</v>
      </c>
      <c r="S109" s="6" t="s">
        <v>2201</v>
      </c>
      <c r="T109" s="6" t="s">
        <v>2202</v>
      </c>
      <c r="V109" s="6" t="s">
        <v>2203</v>
      </c>
      <c r="X109" s="6" t="s">
        <v>2204</v>
      </c>
      <c r="Z109" s="1">
        <v>3</v>
      </c>
      <c r="AA109" s="1">
        <v>3</v>
      </c>
      <c r="AB109" s="7" t="s">
        <v>566</v>
      </c>
      <c r="AC109" s="1" t="s">
        <v>590</v>
      </c>
      <c r="AD109" s="1" t="s">
        <v>573</v>
      </c>
      <c r="AE109" s="7" t="s">
        <v>225</v>
      </c>
      <c r="AF109" s="6"/>
      <c r="AG109" s="6" t="s">
        <v>1575</v>
      </c>
      <c r="AH109" s="6" t="s">
        <v>1576</v>
      </c>
      <c r="AK109" s="23" cm="1">
        <f t="array" ref="AK109">_xlfn.IFS(AC109="Principles observation",1, AC109="Concept formulation",2, AC109="Proof-of-concept simulation", 3, AC109="Core function validation", 4, AC109="Integration component testing", 5, AC109="Component validation in relevant environment", 6, AC109="Subsystem demonstration in relevant environment", 7, AC109="System demonstration in operational environment", 8, AC109="Production qualification", 9, AC109="Mission-proven operations", 10)</f>
        <v>5</v>
      </c>
      <c r="AL109" s="23" cm="1">
        <f t="array" ref="AL109">_xlfn.IFS(AD109="Assistive GenAI", 1, AD109="GenAI-led with human oversight", 2, AD109="Autonomous process learning", 3)</f>
        <v>1</v>
      </c>
    </row>
    <row r="110" spans="1:38" ht="55.95" customHeight="1" x14ac:dyDescent="0.3">
      <c r="A110" s="32">
        <v>130</v>
      </c>
      <c r="B110" s="6" t="s">
        <v>1226</v>
      </c>
      <c r="C110" s="10" t="s">
        <v>1241</v>
      </c>
      <c r="D110" s="7">
        <v>2025</v>
      </c>
      <c r="E110" s="13" t="s">
        <v>59</v>
      </c>
      <c r="F110" s="7">
        <v>1</v>
      </c>
      <c r="G110" s="1" t="str">
        <f t="shared" si="7"/>
        <v>Wang, P.</v>
      </c>
      <c r="H110" s="28" t="s">
        <v>1255</v>
      </c>
      <c r="I110" s="15" t="s">
        <v>1265</v>
      </c>
      <c r="J110" s="1" t="s">
        <v>228</v>
      </c>
      <c r="K110" s="1" t="s">
        <v>222</v>
      </c>
      <c r="L110" s="1" t="s">
        <v>402</v>
      </c>
      <c r="M110" s="1" t="s">
        <v>425</v>
      </c>
      <c r="N110" s="1" t="s">
        <v>387</v>
      </c>
      <c r="O110" s="1" t="s">
        <v>504</v>
      </c>
      <c r="P110" s="1" t="s">
        <v>1577</v>
      </c>
      <c r="R110" s="1" t="s">
        <v>1578</v>
      </c>
      <c r="S110" s="6" t="s">
        <v>2205</v>
      </c>
      <c r="T110" s="6" t="s">
        <v>2206</v>
      </c>
      <c r="V110" s="6" t="s">
        <v>2207</v>
      </c>
      <c r="X110" s="6" t="s">
        <v>2208</v>
      </c>
      <c r="Z110" s="1">
        <v>4</v>
      </c>
      <c r="AA110" s="1">
        <v>4</v>
      </c>
      <c r="AB110" s="7" t="s">
        <v>566</v>
      </c>
      <c r="AC110" s="1" t="s">
        <v>590</v>
      </c>
      <c r="AD110" s="1" t="s">
        <v>574</v>
      </c>
      <c r="AE110" s="7" t="s">
        <v>218</v>
      </c>
      <c r="AF110" s="6" t="s">
        <v>743</v>
      </c>
      <c r="AG110" s="6" t="s">
        <v>1579</v>
      </c>
      <c r="AH110" s="6" t="s">
        <v>1580</v>
      </c>
      <c r="AI110" s="6" t="s">
        <v>1581</v>
      </c>
      <c r="AK110" s="23" cm="1">
        <f t="array" ref="AK110">_xlfn.IFS(AC110="Principles observation",1, AC110="Concept formulation",2, AC110="Proof-of-concept simulation", 3, AC110="Core function validation", 4, AC110="Integration component testing", 5, AC110="Component validation in relevant environment", 6, AC110="Subsystem demonstration in relevant environment", 7, AC110="System demonstration in operational environment", 8, AC110="Production qualification", 9, AC110="Mission-proven operations", 10)</f>
        <v>5</v>
      </c>
      <c r="AL110" s="23" cm="1">
        <f t="array" ref="AL110">_xlfn.IFS(AD110="Assistive GenAI", 1, AD110="GenAI-led with human oversight", 2, AD110="Autonomous process learning", 3)</f>
        <v>2</v>
      </c>
    </row>
    <row r="111" spans="1:38" ht="55.95" customHeight="1" x14ac:dyDescent="0.3">
      <c r="A111" s="32">
        <v>131</v>
      </c>
      <c r="B111" s="6" t="s">
        <v>1227</v>
      </c>
      <c r="C111" s="10" t="s">
        <v>1242</v>
      </c>
      <c r="D111" s="7">
        <v>2025</v>
      </c>
      <c r="E111" s="13" t="s">
        <v>59</v>
      </c>
      <c r="F111" s="7">
        <v>1</v>
      </c>
      <c r="G111" s="1" t="str">
        <f t="shared" si="7"/>
        <v>Xiong, X.</v>
      </c>
      <c r="H111" s="28" t="s">
        <v>1256</v>
      </c>
      <c r="I111" s="15" t="s">
        <v>1266</v>
      </c>
      <c r="J111" s="1" t="s">
        <v>228</v>
      </c>
      <c r="K111" s="1" t="s">
        <v>222</v>
      </c>
      <c r="L111" s="1" t="s">
        <v>402</v>
      </c>
      <c r="M111" s="1" t="s">
        <v>425</v>
      </c>
      <c r="N111" s="1" t="s">
        <v>224</v>
      </c>
      <c r="O111" s="1" t="s">
        <v>1582</v>
      </c>
      <c r="P111" s="1" t="s">
        <v>1583</v>
      </c>
      <c r="R111" s="1" t="s">
        <v>1584</v>
      </c>
      <c r="S111" s="6" t="s">
        <v>2209</v>
      </c>
      <c r="T111" s="6" t="s">
        <v>2210</v>
      </c>
      <c r="V111" s="6" t="s">
        <v>2211</v>
      </c>
      <c r="X111" s="6" t="s">
        <v>2212</v>
      </c>
      <c r="Z111" s="1">
        <v>3</v>
      </c>
      <c r="AA111" s="1">
        <v>4</v>
      </c>
      <c r="AB111" s="7" t="s">
        <v>566</v>
      </c>
      <c r="AC111" s="1" t="s">
        <v>590</v>
      </c>
      <c r="AD111" s="1" t="s">
        <v>573</v>
      </c>
      <c r="AE111" s="7" t="s">
        <v>225</v>
      </c>
      <c r="AF111" s="6"/>
      <c r="AG111" s="6" t="s">
        <v>1585</v>
      </c>
      <c r="AH111" s="6" t="s">
        <v>1586</v>
      </c>
      <c r="AK111" s="23" cm="1">
        <f t="array" ref="AK111">_xlfn.IFS(AC111="Principles observation",1, AC111="Concept formulation",2, AC111="Proof-of-concept simulation", 3, AC111="Core function validation", 4, AC111="Integration component testing", 5, AC111="Component validation in relevant environment", 6, AC111="Subsystem demonstration in relevant environment", 7, AC111="System demonstration in operational environment", 8, AC111="Production qualification", 9, AC111="Mission-proven operations", 10)</f>
        <v>5</v>
      </c>
      <c r="AL111" s="23" cm="1">
        <f t="array" ref="AL111">_xlfn.IFS(AD111="Assistive GenAI", 1, AD111="GenAI-led with human oversight", 2, AD111="Autonomous process learning", 3)</f>
        <v>1</v>
      </c>
    </row>
    <row r="112" spans="1:38" ht="55.95" customHeight="1" x14ac:dyDescent="0.3">
      <c r="A112" s="32">
        <v>132</v>
      </c>
      <c r="B112" s="6" t="s">
        <v>1228</v>
      </c>
      <c r="C112" s="10" t="s">
        <v>1243</v>
      </c>
      <c r="D112" s="7">
        <v>2025</v>
      </c>
      <c r="E112" s="13" t="s">
        <v>59</v>
      </c>
      <c r="F112" s="7">
        <v>2</v>
      </c>
      <c r="G112" s="1" t="str">
        <f t="shared" si="7"/>
        <v>Zhang, Z.</v>
      </c>
      <c r="H112" s="28" t="s">
        <v>1257</v>
      </c>
      <c r="I112" s="15" t="s">
        <v>1267</v>
      </c>
      <c r="J112" s="1" t="s">
        <v>228</v>
      </c>
      <c r="K112" s="1" t="s">
        <v>222</v>
      </c>
      <c r="L112" s="1" t="s">
        <v>402</v>
      </c>
      <c r="M112" s="1" t="s">
        <v>425</v>
      </c>
      <c r="N112" s="1" t="s">
        <v>383</v>
      </c>
      <c r="O112" s="1" t="s">
        <v>419</v>
      </c>
      <c r="P112" s="1" t="s">
        <v>398</v>
      </c>
      <c r="R112" s="1" t="s">
        <v>1587</v>
      </c>
      <c r="S112" s="6" t="s">
        <v>2213</v>
      </c>
      <c r="T112" s="6" t="s">
        <v>2214</v>
      </c>
      <c r="V112" s="6" t="s">
        <v>2215</v>
      </c>
      <c r="X112" s="6" t="s">
        <v>2216</v>
      </c>
      <c r="Z112" s="1">
        <v>4</v>
      </c>
      <c r="AA112" s="1">
        <v>4</v>
      </c>
      <c r="AB112" s="7" t="s">
        <v>566</v>
      </c>
      <c r="AC112" s="1" t="s">
        <v>578</v>
      </c>
      <c r="AD112" s="1" t="s">
        <v>573</v>
      </c>
      <c r="AE112" s="7" t="s">
        <v>225</v>
      </c>
      <c r="AF112" s="6"/>
      <c r="AG112" s="6" t="s">
        <v>1588</v>
      </c>
      <c r="AH112" s="6" t="s">
        <v>1589</v>
      </c>
      <c r="AK112" s="23" cm="1">
        <f t="array" ref="AK112">_xlfn.IFS(AC112="Principles observation",1, AC112="Concept formulation",2, AC112="Proof-of-concept simulation", 3, AC112="Core function validation", 4, AC112="Integration component testing", 5, AC112="Component validation in relevant environment", 6, AC112="Subsystem demonstration in relevant environment", 7, AC112="System demonstration in operational environment", 8, AC112="Production qualification", 9, AC112="Mission-proven operations", 10)</f>
        <v>4</v>
      </c>
      <c r="AL112" s="23" cm="1">
        <f t="array" ref="AL112">_xlfn.IFS(AD112="Assistive GenAI", 1, AD112="GenAI-led with human oversight", 2, AD112="Autonomous process learning", 3)</f>
        <v>1</v>
      </c>
    </row>
    <row r="113" spans="1:38" ht="55.95" customHeight="1" x14ac:dyDescent="0.3">
      <c r="A113" s="32">
        <v>134</v>
      </c>
      <c r="B113" s="6" t="s">
        <v>1229</v>
      </c>
      <c r="C113" s="10" t="s">
        <v>1244</v>
      </c>
      <c r="D113" s="7">
        <v>2025</v>
      </c>
      <c r="E113" s="13" t="s">
        <v>59</v>
      </c>
      <c r="F113" s="7">
        <v>2</v>
      </c>
      <c r="G113" s="1" t="str">
        <f t="shared" si="7"/>
        <v>Li, F.</v>
      </c>
      <c r="H113" s="28" t="s">
        <v>1144</v>
      </c>
      <c r="I113" s="15" t="s">
        <v>1268</v>
      </c>
      <c r="J113" s="1" t="s">
        <v>228</v>
      </c>
      <c r="K113" s="1" t="s">
        <v>222</v>
      </c>
      <c r="L113" s="1" t="s">
        <v>402</v>
      </c>
      <c r="M113" s="1" t="s">
        <v>425</v>
      </c>
      <c r="N113" s="1" t="s">
        <v>383</v>
      </c>
      <c r="O113" s="1" t="s">
        <v>460</v>
      </c>
      <c r="P113" s="1" t="s">
        <v>457</v>
      </c>
      <c r="R113" s="1" t="s">
        <v>1590</v>
      </c>
      <c r="S113" s="6" t="s">
        <v>2217</v>
      </c>
      <c r="T113" s="6" t="s">
        <v>2218</v>
      </c>
      <c r="V113" s="6" t="s">
        <v>2219</v>
      </c>
      <c r="X113" s="6" t="s">
        <v>2220</v>
      </c>
      <c r="Z113" s="1">
        <v>4</v>
      </c>
      <c r="AA113" s="1">
        <v>4</v>
      </c>
      <c r="AB113" s="7" t="s">
        <v>566</v>
      </c>
      <c r="AC113" s="1" t="s">
        <v>578</v>
      </c>
      <c r="AD113" s="1" t="s">
        <v>573</v>
      </c>
      <c r="AE113" s="7" t="s">
        <v>218</v>
      </c>
      <c r="AF113" s="6" t="s">
        <v>609</v>
      </c>
      <c r="AG113" s="6" t="s">
        <v>1591</v>
      </c>
      <c r="AH113" s="6" t="s">
        <v>1592</v>
      </c>
      <c r="AI113" s="6" t="s">
        <v>1625</v>
      </c>
      <c r="AK113" s="23" cm="1">
        <f t="array" ref="AK113">_xlfn.IFS(AC113="Principles observation",1, AC113="Concept formulation",2, AC113="Proof-of-concept simulation", 3, AC113="Core function validation", 4, AC113="Integration component testing", 5, AC113="Component validation in relevant environment", 6, AC113="Subsystem demonstration in relevant environment", 7, AC113="System demonstration in operational environment", 8, AC113="Production qualification", 9, AC113="Mission-proven operations", 10)</f>
        <v>4</v>
      </c>
      <c r="AL113" s="23" cm="1">
        <f t="array" ref="AL113">_xlfn.IFS(AD113="Assistive GenAI", 1, AD113="GenAI-led with human oversight", 2, AD113="Autonomous process learning", 3)</f>
        <v>1</v>
      </c>
    </row>
    <row r="114" spans="1:38" ht="55.95" customHeight="1" x14ac:dyDescent="0.3">
      <c r="A114" s="32">
        <v>135</v>
      </c>
      <c r="B114" s="6" t="s">
        <v>1230</v>
      </c>
      <c r="C114" s="10" t="s">
        <v>1245</v>
      </c>
      <c r="D114" s="7">
        <v>2025</v>
      </c>
      <c r="E114" s="13" t="s">
        <v>58</v>
      </c>
      <c r="F114" s="7">
        <v>0</v>
      </c>
      <c r="G114" s="1" t="str">
        <f t="shared" si="7"/>
        <v>Lou, S.</v>
      </c>
      <c r="H114" s="28" t="s">
        <v>1258</v>
      </c>
      <c r="I114" s="15" t="s">
        <v>1269</v>
      </c>
      <c r="J114" s="1" t="s">
        <v>228</v>
      </c>
      <c r="K114" s="1" t="s">
        <v>222</v>
      </c>
      <c r="L114" s="1" t="s">
        <v>402</v>
      </c>
      <c r="M114" s="1" t="s">
        <v>425</v>
      </c>
      <c r="N114" s="1" t="s">
        <v>383</v>
      </c>
      <c r="O114" s="1" t="s">
        <v>393</v>
      </c>
      <c r="P114" s="1" t="s">
        <v>457</v>
      </c>
      <c r="R114" s="1" t="s">
        <v>1593</v>
      </c>
      <c r="S114" s="6" t="s">
        <v>2221</v>
      </c>
      <c r="T114" s="6" t="s">
        <v>2222</v>
      </c>
      <c r="V114" s="6" t="s">
        <v>2223</v>
      </c>
      <c r="X114" s="6" t="s">
        <v>2224</v>
      </c>
      <c r="Z114" s="1">
        <v>5</v>
      </c>
      <c r="AA114" s="1">
        <v>3</v>
      </c>
      <c r="AB114" s="7" t="s">
        <v>566</v>
      </c>
      <c r="AC114" s="1" t="s">
        <v>590</v>
      </c>
      <c r="AD114" s="1" t="s">
        <v>574</v>
      </c>
      <c r="AE114" s="7" t="s">
        <v>225</v>
      </c>
      <c r="AF114" s="6"/>
      <c r="AG114" s="6" t="s">
        <v>1594</v>
      </c>
      <c r="AH114" s="6" t="s">
        <v>1595</v>
      </c>
      <c r="AK114" s="23" cm="1">
        <f t="array" ref="AK114">_xlfn.IFS(AC114="Principles observation",1, AC114="Concept formulation",2, AC114="Proof-of-concept simulation", 3, AC114="Core function validation", 4, AC114="Integration component testing", 5, AC114="Component validation in relevant environment", 6, AC114="Subsystem demonstration in relevant environment", 7, AC114="System demonstration in operational environment", 8, AC114="Production qualification", 9, AC114="Mission-proven operations", 10)</f>
        <v>5</v>
      </c>
      <c r="AL114" s="23" cm="1">
        <f t="array" ref="AL114">_xlfn.IFS(AD114="Assistive GenAI", 1, AD114="GenAI-led with human oversight", 2, AD114="Autonomous process learning", 3)</f>
        <v>2</v>
      </c>
    </row>
    <row r="115" spans="1:38" ht="55.95" customHeight="1" x14ac:dyDescent="0.3">
      <c r="A115" s="32">
        <v>137</v>
      </c>
      <c r="B115" s="6" t="s">
        <v>1231</v>
      </c>
      <c r="C115" s="10" t="s">
        <v>1246</v>
      </c>
      <c r="D115" s="7">
        <v>2025</v>
      </c>
      <c r="E115" s="13" t="s">
        <v>58</v>
      </c>
      <c r="F115" s="7">
        <v>1</v>
      </c>
      <c r="G115" s="1" t="str">
        <f t="shared" si="7"/>
        <v>Wang, B.</v>
      </c>
      <c r="H115" s="28" t="s">
        <v>1166</v>
      </c>
      <c r="I115" s="15" t="s">
        <v>1270</v>
      </c>
      <c r="J115" s="1" t="s">
        <v>228</v>
      </c>
      <c r="K115" s="1" t="s">
        <v>222</v>
      </c>
      <c r="L115" s="1" t="s">
        <v>402</v>
      </c>
      <c r="M115" s="1" t="s">
        <v>425</v>
      </c>
      <c r="N115" s="1" t="s">
        <v>383</v>
      </c>
      <c r="O115" s="1" t="s">
        <v>393</v>
      </c>
      <c r="P115" s="1" t="s">
        <v>1565</v>
      </c>
      <c r="R115" s="1" t="s">
        <v>423</v>
      </c>
      <c r="S115" s="6" t="s">
        <v>2225</v>
      </c>
      <c r="T115" s="6" t="s">
        <v>2226</v>
      </c>
      <c r="V115" s="6" t="s">
        <v>2227</v>
      </c>
      <c r="X115" s="6" t="s">
        <v>2228</v>
      </c>
      <c r="Z115" s="1">
        <v>4</v>
      </c>
      <c r="AA115" s="1">
        <v>4</v>
      </c>
      <c r="AB115" s="7" t="s">
        <v>566</v>
      </c>
      <c r="AC115" s="1" t="s">
        <v>590</v>
      </c>
      <c r="AD115" s="1" t="s">
        <v>574</v>
      </c>
      <c r="AE115" s="7" t="s">
        <v>225</v>
      </c>
      <c r="AF115" s="6"/>
      <c r="AG115" s="6" t="s">
        <v>1596</v>
      </c>
      <c r="AH115" s="6" t="s">
        <v>1597</v>
      </c>
      <c r="AK115" s="23" cm="1">
        <f t="array" ref="AK115">_xlfn.IFS(AC115="Principles observation",1, AC115="Concept formulation",2, AC115="Proof-of-concept simulation", 3, AC115="Core function validation", 4, AC115="Integration component testing", 5, AC115="Component validation in relevant environment", 6, AC115="Subsystem demonstration in relevant environment", 7, AC115="System demonstration in operational environment", 8, AC115="Production qualification", 9, AC115="Mission-proven operations", 10)</f>
        <v>5</v>
      </c>
      <c r="AL115" s="23" cm="1">
        <f t="array" ref="AL115">_xlfn.IFS(AD115="Assistive GenAI", 1, AD115="GenAI-led with human oversight", 2, AD115="Autonomous process learning", 3)</f>
        <v>2</v>
      </c>
    </row>
    <row r="116" spans="1:38" ht="55.95" customHeight="1" x14ac:dyDescent="0.3">
      <c r="A116" s="32">
        <v>138</v>
      </c>
      <c r="B116" s="6" t="s">
        <v>1234</v>
      </c>
      <c r="C116" s="10" t="s">
        <v>1248</v>
      </c>
      <c r="D116" s="7">
        <v>2025</v>
      </c>
      <c r="E116" s="13" t="s">
        <v>67</v>
      </c>
      <c r="F116" s="7">
        <v>0</v>
      </c>
      <c r="G116" s="1" t="str">
        <f t="shared" si="7"/>
        <v>Li, F.</v>
      </c>
      <c r="H116" s="28" t="s">
        <v>1144</v>
      </c>
      <c r="I116" s="15" t="s">
        <v>1273</v>
      </c>
      <c r="J116" s="1" t="s">
        <v>228</v>
      </c>
      <c r="K116" s="1" t="s">
        <v>222</v>
      </c>
      <c r="L116" s="1" t="s">
        <v>402</v>
      </c>
      <c r="M116" s="1" t="s">
        <v>425</v>
      </c>
      <c r="N116" s="1" t="s">
        <v>383</v>
      </c>
      <c r="O116" s="1" t="s">
        <v>226</v>
      </c>
      <c r="P116" s="1" t="s">
        <v>457</v>
      </c>
      <c r="R116" s="1" t="s">
        <v>1598</v>
      </c>
      <c r="S116" s="6" t="s">
        <v>2229</v>
      </c>
      <c r="T116" s="6" t="s">
        <v>2230</v>
      </c>
      <c r="V116" s="6" t="s">
        <v>2231</v>
      </c>
      <c r="X116" s="6" t="s">
        <v>2232</v>
      </c>
      <c r="Z116" s="1">
        <v>5</v>
      </c>
      <c r="AA116" s="1">
        <v>3</v>
      </c>
      <c r="AB116" s="7" t="s">
        <v>566</v>
      </c>
      <c r="AC116" s="1" t="s">
        <v>578</v>
      </c>
      <c r="AD116" s="1" t="s">
        <v>573</v>
      </c>
      <c r="AE116" s="7" t="s">
        <v>218</v>
      </c>
      <c r="AF116" s="6" t="s">
        <v>609</v>
      </c>
      <c r="AG116" s="6" t="s">
        <v>1599</v>
      </c>
      <c r="AH116" s="6" t="s">
        <v>1600</v>
      </c>
      <c r="AI116" s="6" t="s">
        <v>1625</v>
      </c>
      <c r="AK116" s="23" cm="1">
        <f t="array" ref="AK116">_xlfn.IFS(AC116="Principles observation",1, AC116="Concept formulation",2, AC116="Proof-of-concept simulation", 3, AC116="Core function validation", 4, AC116="Integration component testing", 5, AC116="Component validation in relevant environment", 6, AC116="Subsystem demonstration in relevant environment", 7, AC116="System demonstration in operational environment", 8, AC116="Production qualification", 9, AC116="Mission-proven operations", 10)</f>
        <v>4</v>
      </c>
      <c r="AL116" s="23" cm="1">
        <f t="array" ref="AL116">_xlfn.IFS(AD116="Assistive GenAI", 1, AD116="GenAI-led with human oversight", 2, AD116="Autonomous process learning", 3)</f>
        <v>1</v>
      </c>
    </row>
    <row r="117" spans="1:38" ht="55.95" customHeight="1" x14ac:dyDescent="0.3">
      <c r="A117" s="32">
        <v>141</v>
      </c>
      <c r="B117" s="6" t="s">
        <v>1235</v>
      </c>
      <c r="C117" s="10" t="s">
        <v>1249</v>
      </c>
      <c r="D117" s="7">
        <v>2025</v>
      </c>
      <c r="E117" s="13" t="s">
        <v>66</v>
      </c>
      <c r="F117" s="7">
        <v>0</v>
      </c>
      <c r="G117" s="1" t="str">
        <f t="shared" si="7"/>
        <v>Shao, P.</v>
      </c>
      <c r="H117" s="28" t="s">
        <v>959</v>
      </c>
      <c r="I117" s="15" t="s">
        <v>1274</v>
      </c>
      <c r="J117" s="1" t="s">
        <v>228</v>
      </c>
      <c r="K117" s="1" t="s">
        <v>222</v>
      </c>
      <c r="L117" s="1" t="s">
        <v>402</v>
      </c>
      <c r="M117" s="1" t="s">
        <v>425</v>
      </c>
      <c r="N117" s="1" t="s">
        <v>383</v>
      </c>
      <c r="O117" s="1" t="s">
        <v>226</v>
      </c>
      <c r="P117" s="1" t="s">
        <v>389</v>
      </c>
      <c r="R117" s="1" t="s">
        <v>483</v>
      </c>
      <c r="S117" s="6" t="s">
        <v>2233</v>
      </c>
      <c r="T117" s="6" t="s">
        <v>2234</v>
      </c>
      <c r="V117" s="6" t="s">
        <v>2235</v>
      </c>
      <c r="X117" s="6" t="s">
        <v>2236</v>
      </c>
      <c r="Z117" s="1">
        <v>5</v>
      </c>
      <c r="AA117" s="1">
        <v>4</v>
      </c>
      <c r="AB117" s="7" t="s">
        <v>566</v>
      </c>
      <c r="AC117" s="1" t="s">
        <v>578</v>
      </c>
      <c r="AD117" s="1" t="s">
        <v>573</v>
      </c>
      <c r="AE117" s="7" t="s">
        <v>218</v>
      </c>
      <c r="AF117" s="6" t="s">
        <v>609</v>
      </c>
      <c r="AG117" s="6" t="s">
        <v>1601</v>
      </c>
      <c r="AH117" s="6" t="s">
        <v>1602</v>
      </c>
      <c r="AI117" s="6" t="s">
        <v>1625</v>
      </c>
      <c r="AK117" s="23" cm="1">
        <f t="array" ref="AK117">_xlfn.IFS(AC117="Principles observation",1, AC117="Concept formulation",2, AC117="Proof-of-concept simulation", 3, AC117="Core function validation", 4, AC117="Integration component testing", 5, AC117="Component validation in relevant environment", 6, AC117="Subsystem demonstration in relevant environment", 7, AC117="System demonstration in operational environment", 8, AC117="Production qualification", 9, AC117="Mission-proven operations", 10)</f>
        <v>4</v>
      </c>
      <c r="AL117" s="23" cm="1">
        <f t="array" ref="AL117">_xlfn.IFS(AD117="Assistive GenAI", 1, AD117="GenAI-led with human oversight", 2, AD117="Autonomous process learning", 3)</f>
        <v>1</v>
      </c>
    </row>
    <row r="118" spans="1:38" ht="55.95" customHeight="1" x14ac:dyDescent="0.3">
      <c r="A118" s="32">
        <v>146</v>
      </c>
      <c r="B118" s="6" t="s">
        <v>1237</v>
      </c>
      <c r="C118" s="10" t="s">
        <v>1251</v>
      </c>
      <c r="D118" s="7">
        <v>2025</v>
      </c>
      <c r="E118" s="13" t="s">
        <v>1137</v>
      </c>
      <c r="F118" s="7">
        <v>3</v>
      </c>
      <c r="G118" s="1" t="str">
        <f t="shared" si="7"/>
        <v>Khvatskii, G.</v>
      </c>
      <c r="H118" s="28" t="s">
        <v>1261</v>
      </c>
      <c r="I118" s="15" t="s">
        <v>1276</v>
      </c>
      <c r="J118" s="1" t="s">
        <v>228</v>
      </c>
      <c r="K118" s="1" t="s">
        <v>222</v>
      </c>
      <c r="L118" s="1" t="s">
        <v>733</v>
      </c>
      <c r="M118" s="1" t="s">
        <v>425</v>
      </c>
      <c r="N118" s="1" t="s">
        <v>383</v>
      </c>
      <c r="O118" s="1" t="s">
        <v>498</v>
      </c>
      <c r="P118" s="1" t="s">
        <v>457</v>
      </c>
      <c r="R118" s="1" t="s">
        <v>532</v>
      </c>
      <c r="S118" s="6" t="s">
        <v>2237</v>
      </c>
      <c r="T118" s="6" t="s">
        <v>2238</v>
      </c>
      <c r="U118" s="6" t="s">
        <v>2239</v>
      </c>
      <c r="V118" s="6" t="s">
        <v>2240</v>
      </c>
      <c r="X118" s="6" t="s">
        <v>2241</v>
      </c>
      <c r="Z118" s="1">
        <v>5</v>
      </c>
      <c r="AA118" s="1">
        <v>3</v>
      </c>
      <c r="AB118" s="7" t="s">
        <v>566</v>
      </c>
      <c r="AC118" s="1" t="s">
        <v>578</v>
      </c>
      <c r="AD118" s="1" t="s">
        <v>573</v>
      </c>
      <c r="AE118" s="7" t="s">
        <v>225</v>
      </c>
      <c r="AF118" s="6"/>
      <c r="AG118" s="6" t="s">
        <v>1606</v>
      </c>
      <c r="AH118" s="6" t="s">
        <v>1607</v>
      </c>
      <c r="AK118" s="23" cm="1">
        <f t="array" ref="AK118">_xlfn.IFS(AC118="Principles observation",1, AC118="Concept formulation",2, AC118="Proof-of-concept simulation", 3, AC118="Core function validation", 4, AC118="Integration component testing", 5, AC118="Component validation in relevant environment", 6, AC118="Subsystem demonstration in relevant environment", 7, AC118="System demonstration in operational environment", 8, AC118="Production qualification", 9, AC118="Mission-proven operations", 10)</f>
        <v>4</v>
      </c>
      <c r="AL118" s="23" cm="1">
        <f t="array" ref="AL118">_xlfn.IFS(AD118="Assistive GenAI", 1, AD118="GenAI-led with human oversight", 2, AD118="Autonomous process learning", 3)</f>
        <v>1</v>
      </c>
    </row>
    <row r="119" spans="1:38" ht="55.95" customHeight="1" x14ac:dyDescent="0.3">
      <c r="A119" s="32">
        <v>153</v>
      </c>
      <c r="B119" s="6" t="s">
        <v>1279</v>
      </c>
      <c r="C119" s="10" t="s">
        <v>1286</v>
      </c>
      <c r="D119" s="7">
        <v>2025</v>
      </c>
      <c r="E119" s="13" t="s">
        <v>60</v>
      </c>
      <c r="F119" s="7">
        <v>0</v>
      </c>
      <c r="G119" s="1" t="str">
        <f t="shared" si="7"/>
        <v>Abbaszadeh Nakhost, M.</v>
      </c>
      <c r="H119" s="28" t="s">
        <v>1292</v>
      </c>
      <c r="I119" s="15" t="s">
        <v>1299</v>
      </c>
      <c r="J119" s="1" t="s">
        <v>228</v>
      </c>
      <c r="K119" s="1" t="s">
        <v>222</v>
      </c>
      <c r="L119" s="1" t="s">
        <v>733</v>
      </c>
      <c r="M119" s="1" t="s">
        <v>217</v>
      </c>
      <c r="N119" s="1" t="s">
        <v>387</v>
      </c>
      <c r="O119" s="1" t="s">
        <v>1608</v>
      </c>
      <c r="R119" s="1" t="s">
        <v>386</v>
      </c>
      <c r="S119" s="6" t="s">
        <v>2242</v>
      </c>
      <c r="T119" s="6" t="s">
        <v>2243</v>
      </c>
      <c r="U119" s="6" t="s">
        <v>2244</v>
      </c>
      <c r="V119" s="6" t="s">
        <v>2245</v>
      </c>
      <c r="X119" s="6" t="s">
        <v>2246</v>
      </c>
      <c r="Z119" s="1">
        <v>5</v>
      </c>
      <c r="AA119" s="1">
        <v>5</v>
      </c>
      <c r="AB119" s="7" t="s">
        <v>566</v>
      </c>
      <c r="AC119" s="1" t="s">
        <v>578</v>
      </c>
      <c r="AD119" s="1" t="s">
        <v>573</v>
      </c>
      <c r="AE119" s="7" t="s">
        <v>225</v>
      </c>
      <c r="AF119" s="6"/>
      <c r="AG119" s="6" t="s">
        <v>1609</v>
      </c>
      <c r="AH119" s="6" t="s">
        <v>1610</v>
      </c>
      <c r="AK119" s="23" cm="1">
        <f t="array" ref="AK119">_xlfn.IFS(AC119="Principles observation",1, AC119="Concept formulation",2, AC119="Proof-of-concept simulation", 3, AC119="Core function validation", 4, AC119="Integration component testing", 5, AC119="Component validation in relevant environment", 6, AC119="Subsystem demonstration in relevant environment", 7, AC119="System demonstration in operational environment", 8, AC119="Production qualification", 9, AC119="Mission-proven operations", 10)</f>
        <v>4</v>
      </c>
      <c r="AL119" s="23" cm="1">
        <f t="array" ref="AL119">_xlfn.IFS(AD119="Assistive GenAI", 1, AD119="GenAI-led with human oversight", 2, AD119="Autonomous process learning", 3)</f>
        <v>1</v>
      </c>
    </row>
    <row r="120" spans="1:38" ht="55.95" customHeight="1" x14ac:dyDescent="0.3">
      <c r="A120" s="32">
        <v>154</v>
      </c>
      <c r="B120" s="6" t="s">
        <v>1280</v>
      </c>
      <c r="C120" s="10" t="s">
        <v>1287</v>
      </c>
      <c r="D120" s="7">
        <v>2025</v>
      </c>
      <c r="E120" s="13" t="s">
        <v>61</v>
      </c>
      <c r="F120" s="7">
        <v>0</v>
      </c>
      <c r="G120" s="1" t="str">
        <f t="shared" si="7"/>
        <v>Yu, Y.-C.</v>
      </c>
      <c r="H120" s="28" t="s">
        <v>1293</v>
      </c>
      <c r="I120" s="15" t="s">
        <v>1300</v>
      </c>
      <c r="J120" s="1" t="s">
        <v>228</v>
      </c>
      <c r="K120" s="1" t="s">
        <v>222</v>
      </c>
      <c r="L120" s="1" t="s">
        <v>402</v>
      </c>
      <c r="M120" s="1" t="s">
        <v>425</v>
      </c>
      <c r="N120" s="1" t="s">
        <v>471</v>
      </c>
      <c r="O120" s="1" t="s">
        <v>481</v>
      </c>
      <c r="R120" s="1" t="s">
        <v>423</v>
      </c>
      <c r="S120" s="6" t="s">
        <v>2247</v>
      </c>
      <c r="T120" s="6" t="s">
        <v>2248</v>
      </c>
      <c r="V120" s="6" t="s">
        <v>2249</v>
      </c>
      <c r="X120" s="6" t="s">
        <v>2250</v>
      </c>
      <c r="Z120" s="1">
        <v>5</v>
      </c>
      <c r="AA120" s="1">
        <v>3</v>
      </c>
      <c r="AB120" s="7" t="s">
        <v>566</v>
      </c>
      <c r="AC120" s="1" t="s">
        <v>578</v>
      </c>
      <c r="AD120" s="1" t="s">
        <v>573</v>
      </c>
      <c r="AE120" s="7" t="s">
        <v>225</v>
      </c>
      <c r="AF120" s="6"/>
      <c r="AG120" s="6" t="s">
        <v>1611</v>
      </c>
      <c r="AH120" s="6" t="s">
        <v>1612</v>
      </c>
      <c r="AK120" s="23" cm="1">
        <f t="array" ref="AK120">_xlfn.IFS(AC120="Principles observation",1, AC120="Concept formulation",2, AC120="Proof-of-concept simulation", 3, AC120="Core function validation", 4, AC120="Integration component testing", 5, AC120="Component validation in relevant environment", 6, AC120="Subsystem demonstration in relevant environment", 7, AC120="System demonstration in operational environment", 8, AC120="Production qualification", 9, AC120="Mission-proven operations", 10)</f>
        <v>4</v>
      </c>
      <c r="AL120" s="23" cm="1">
        <f t="array" ref="AL120">_xlfn.IFS(AD120="Assistive GenAI", 1, AD120="GenAI-led with human oversight", 2, AD120="Autonomous process learning", 3)</f>
        <v>1</v>
      </c>
    </row>
    <row r="121" spans="1:38" ht="55.95" customHeight="1" x14ac:dyDescent="0.3">
      <c r="A121" s="32">
        <v>155</v>
      </c>
      <c r="B121" s="6" t="s">
        <v>1282</v>
      </c>
      <c r="C121" s="10" t="s">
        <v>1289</v>
      </c>
      <c r="D121" s="7">
        <v>2025</v>
      </c>
      <c r="E121" s="13" t="s">
        <v>63</v>
      </c>
      <c r="F121" s="7">
        <v>1</v>
      </c>
      <c r="G121" s="1" t="str">
        <f t="shared" si="7"/>
        <v>Li, J.</v>
      </c>
      <c r="H121" s="28" t="s">
        <v>1295</v>
      </c>
      <c r="I121" s="15" t="s">
        <v>1302</v>
      </c>
      <c r="J121" s="1" t="s">
        <v>228</v>
      </c>
      <c r="K121" s="1" t="s">
        <v>222</v>
      </c>
      <c r="L121" s="1" t="s">
        <v>402</v>
      </c>
      <c r="M121" s="1" t="s">
        <v>425</v>
      </c>
      <c r="N121" s="1" t="s">
        <v>383</v>
      </c>
      <c r="O121" s="1" t="s">
        <v>1613</v>
      </c>
      <c r="P121" s="1" t="s">
        <v>1614</v>
      </c>
      <c r="R121" s="1" t="s">
        <v>1590</v>
      </c>
      <c r="S121" s="6" t="s">
        <v>2251</v>
      </c>
      <c r="T121" s="6" t="s">
        <v>2252</v>
      </c>
      <c r="U121" s="6" t="s">
        <v>2253</v>
      </c>
      <c r="V121" s="6" t="s">
        <v>2254</v>
      </c>
      <c r="X121" s="6" t="s">
        <v>2255</v>
      </c>
      <c r="Y121" s="6" t="s">
        <v>1617</v>
      </c>
      <c r="Z121" s="1">
        <v>5</v>
      </c>
      <c r="AA121" s="1">
        <v>5</v>
      </c>
      <c r="AB121" s="7" t="s">
        <v>610</v>
      </c>
      <c r="AC121" s="1" t="s">
        <v>619</v>
      </c>
      <c r="AD121" s="1" t="s">
        <v>574</v>
      </c>
      <c r="AE121" s="7" t="s">
        <v>225</v>
      </c>
      <c r="AF121" s="6"/>
      <c r="AG121" s="6" t="s">
        <v>1615</v>
      </c>
      <c r="AH121" s="6" t="s">
        <v>1616</v>
      </c>
      <c r="AK121" s="23" cm="1">
        <f t="array" ref="AK121">_xlfn.IFS(AC121="Principles observation",1, AC121="Concept formulation",2, AC121="Proof-of-concept simulation", 3, AC121="Core function validation", 4, AC121="Integration component testing", 5, AC121="Component validation in relevant environment", 6, AC121="Subsystem demonstration in relevant environment", 7, AC121="System demonstration in operational environment", 8, AC121="Production qualification", 9, AC121="Mission-proven operations", 10)</f>
        <v>7</v>
      </c>
      <c r="AL121" s="23" cm="1">
        <f t="array" ref="AL121">_xlfn.IFS(AD121="Assistive GenAI", 1, AD121="GenAI-led with human oversight", 2, AD121="Autonomous process learning", 3)</f>
        <v>2</v>
      </c>
    </row>
    <row r="122" spans="1:38" ht="55.95" customHeight="1" x14ac:dyDescent="0.3">
      <c r="A122" s="32">
        <v>156</v>
      </c>
      <c r="B122" s="6" t="s">
        <v>1283</v>
      </c>
      <c r="C122" s="10" t="s">
        <v>1290</v>
      </c>
      <c r="D122" s="7">
        <v>2025</v>
      </c>
      <c r="E122" s="13" t="s">
        <v>64</v>
      </c>
      <c r="F122" s="7">
        <v>1</v>
      </c>
      <c r="G122" s="1" t="str">
        <f t="shared" si="7"/>
        <v>Deng, H.</v>
      </c>
      <c r="H122" s="28" t="s">
        <v>1296</v>
      </c>
      <c r="I122" s="15" t="s">
        <v>1303</v>
      </c>
      <c r="J122" s="1" t="s">
        <v>228</v>
      </c>
      <c r="K122" s="1" t="s">
        <v>222</v>
      </c>
      <c r="L122" s="1" t="s">
        <v>402</v>
      </c>
      <c r="M122" s="1" t="s">
        <v>425</v>
      </c>
      <c r="N122" s="1" t="s">
        <v>383</v>
      </c>
      <c r="O122" s="1" t="s">
        <v>426</v>
      </c>
      <c r="R122" s="1" t="s">
        <v>532</v>
      </c>
      <c r="S122" s="6" t="s">
        <v>2256</v>
      </c>
      <c r="T122" s="6" t="s">
        <v>2257</v>
      </c>
      <c r="V122" s="6" t="s">
        <v>2258</v>
      </c>
      <c r="X122" s="6" t="s">
        <v>2259</v>
      </c>
      <c r="Z122" s="1">
        <v>4</v>
      </c>
      <c r="AA122" s="1">
        <v>3</v>
      </c>
      <c r="AB122" s="7" t="s">
        <v>566</v>
      </c>
      <c r="AC122" s="1" t="s">
        <v>578</v>
      </c>
      <c r="AD122" s="1" t="s">
        <v>573</v>
      </c>
      <c r="AE122" s="7" t="s">
        <v>225</v>
      </c>
      <c r="AF122" s="6"/>
      <c r="AG122" s="6" t="s">
        <v>1618</v>
      </c>
      <c r="AH122" s="6" t="s">
        <v>1619</v>
      </c>
      <c r="AK122" s="23" cm="1">
        <f t="array" ref="AK122">_xlfn.IFS(AC122="Principles observation",1, AC122="Concept formulation",2, AC122="Proof-of-concept simulation", 3, AC122="Core function validation", 4, AC122="Integration component testing", 5, AC122="Component validation in relevant environment", 6, AC122="Subsystem demonstration in relevant environment", 7, AC122="System demonstration in operational environment", 8, AC122="Production qualification", 9, AC122="Mission-proven operations", 10)</f>
        <v>4</v>
      </c>
      <c r="AL122" s="23" cm="1">
        <f t="array" ref="AL122">_xlfn.IFS(AD122="Assistive GenAI", 1, AD122="GenAI-led with human oversight", 2, AD122="Autonomous process learning", 3)</f>
        <v>1</v>
      </c>
    </row>
    <row r="123" spans="1:38" ht="55.95" customHeight="1" x14ac:dyDescent="0.3">
      <c r="A123" s="32">
        <v>160</v>
      </c>
      <c r="B123" s="6" t="s">
        <v>1305</v>
      </c>
      <c r="C123" s="10" t="s">
        <v>1315</v>
      </c>
      <c r="D123" s="7">
        <v>2025</v>
      </c>
      <c r="E123" s="13" t="s">
        <v>60</v>
      </c>
      <c r="F123" s="7">
        <v>0</v>
      </c>
      <c r="G123" s="1" t="str">
        <f t="shared" si="7"/>
        <v>Xiang, W.</v>
      </c>
      <c r="H123" s="28" t="s">
        <v>1326</v>
      </c>
      <c r="I123" s="15" t="s">
        <v>1335</v>
      </c>
      <c r="J123" s="1" t="s">
        <v>228</v>
      </c>
      <c r="K123" s="1" t="s">
        <v>222</v>
      </c>
      <c r="L123" s="1" t="s">
        <v>402</v>
      </c>
      <c r="M123" s="1" t="s">
        <v>425</v>
      </c>
      <c r="N123" s="1" t="s">
        <v>471</v>
      </c>
      <c r="O123" s="1" t="s">
        <v>540</v>
      </c>
      <c r="P123" s="1" t="s">
        <v>1565</v>
      </c>
      <c r="R123" s="1" t="s">
        <v>423</v>
      </c>
      <c r="S123" s="6" t="s">
        <v>2260</v>
      </c>
      <c r="T123" s="6" t="s">
        <v>2261</v>
      </c>
      <c r="U123" s="6" t="s">
        <v>2262</v>
      </c>
      <c r="V123" s="6" t="s">
        <v>2263</v>
      </c>
      <c r="X123" s="6" t="s">
        <v>2264</v>
      </c>
      <c r="Z123" s="1">
        <v>4</v>
      </c>
      <c r="AA123" s="1">
        <v>3</v>
      </c>
      <c r="AB123" s="7" t="s">
        <v>566</v>
      </c>
      <c r="AC123" s="1" t="s">
        <v>578</v>
      </c>
      <c r="AD123" s="1" t="s">
        <v>574</v>
      </c>
      <c r="AE123" s="7" t="s">
        <v>218</v>
      </c>
      <c r="AF123" s="6" t="s">
        <v>609</v>
      </c>
      <c r="AG123" s="6" t="s">
        <v>1623</v>
      </c>
      <c r="AH123" s="6" t="s">
        <v>1624</v>
      </c>
      <c r="AI123" s="6" t="s">
        <v>1626</v>
      </c>
      <c r="AK123" s="23" cm="1">
        <f t="array" ref="AK123">_xlfn.IFS(AC123="Principles observation",1, AC123="Concept formulation",2, AC123="Proof-of-concept simulation", 3, AC123="Core function validation", 4, AC123="Integration component testing", 5, AC123="Component validation in relevant environment", 6, AC123="Subsystem demonstration in relevant environment", 7, AC123="System demonstration in operational environment", 8, AC123="Production qualification", 9, AC123="Mission-proven operations", 10)</f>
        <v>4</v>
      </c>
      <c r="AL123" s="23" cm="1">
        <f t="array" ref="AL123">_xlfn.IFS(AD123="Assistive GenAI", 1, AD123="GenAI-led with human oversight", 2, AD123="Autonomous process learning", 3)</f>
        <v>2</v>
      </c>
    </row>
    <row r="124" spans="1:38" ht="55.95" customHeight="1" x14ac:dyDescent="0.3">
      <c r="A124" s="32">
        <v>161</v>
      </c>
      <c r="B124" s="6" t="s">
        <v>1306</v>
      </c>
      <c r="C124" s="10" t="s">
        <v>1316</v>
      </c>
      <c r="D124" s="7">
        <v>2025</v>
      </c>
      <c r="E124" s="13" t="s">
        <v>56</v>
      </c>
      <c r="F124" s="7">
        <v>0</v>
      </c>
      <c r="G124" s="1" t="str">
        <f t="shared" si="7"/>
        <v>Elbasheer, M.</v>
      </c>
      <c r="H124" s="28" t="s">
        <v>1327</v>
      </c>
      <c r="I124" s="15" t="s">
        <v>1336</v>
      </c>
      <c r="J124" s="1" t="s">
        <v>228</v>
      </c>
      <c r="K124" s="1" t="s">
        <v>222</v>
      </c>
      <c r="L124" s="1" t="s">
        <v>402</v>
      </c>
      <c r="M124" s="1" t="s">
        <v>425</v>
      </c>
      <c r="N124" s="1" t="s">
        <v>471</v>
      </c>
      <c r="O124" s="1" t="s">
        <v>481</v>
      </c>
      <c r="R124" s="1" t="s">
        <v>423</v>
      </c>
      <c r="S124" s="6" t="s">
        <v>2265</v>
      </c>
      <c r="T124" s="6" t="s">
        <v>2266</v>
      </c>
      <c r="V124" s="6" t="s">
        <v>2267</v>
      </c>
      <c r="X124" s="6" t="s">
        <v>2268</v>
      </c>
      <c r="Z124" s="1">
        <v>4</v>
      </c>
      <c r="AA124" s="1">
        <v>4</v>
      </c>
      <c r="AB124" s="7" t="s">
        <v>566</v>
      </c>
      <c r="AC124" s="1" t="s">
        <v>590</v>
      </c>
      <c r="AD124" s="1" t="s">
        <v>573</v>
      </c>
      <c r="AE124" s="7" t="s">
        <v>225</v>
      </c>
      <c r="AF124" s="6"/>
      <c r="AG124" s="6" t="s">
        <v>1628</v>
      </c>
      <c r="AH124" s="6" t="s">
        <v>1627</v>
      </c>
      <c r="AK124" s="23" cm="1">
        <f t="array" ref="AK124">_xlfn.IFS(AC124="Principles observation",1, AC124="Concept formulation",2, AC124="Proof-of-concept simulation", 3, AC124="Core function validation", 4, AC124="Integration component testing", 5, AC124="Component validation in relevant environment", 6, AC124="Subsystem demonstration in relevant environment", 7, AC124="System demonstration in operational environment", 8, AC124="Production qualification", 9, AC124="Mission-proven operations", 10)</f>
        <v>5</v>
      </c>
      <c r="AL124" s="23" cm="1">
        <f t="array" ref="AL124">_xlfn.IFS(AD124="Assistive GenAI", 1, AD124="GenAI-led with human oversight", 2, AD124="Autonomous process learning", 3)</f>
        <v>1</v>
      </c>
    </row>
    <row r="125" spans="1:38" ht="55.95" customHeight="1" x14ac:dyDescent="0.3">
      <c r="A125" s="32">
        <v>162</v>
      </c>
      <c r="B125" s="6" t="s">
        <v>1307</v>
      </c>
      <c r="C125" s="10" t="s">
        <v>1317</v>
      </c>
      <c r="D125" s="7">
        <v>2025</v>
      </c>
      <c r="E125" s="13" t="s">
        <v>56</v>
      </c>
      <c r="F125" s="7">
        <v>0</v>
      </c>
      <c r="G125" s="1" t="str">
        <f t="shared" si="7"/>
        <v>Zong, Y.</v>
      </c>
      <c r="H125" s="28" t="s">
        <v>1328</v>
      </c>
      <c r="I125" s="15" t="s">
        <v>1337</v>
      </c>
      <c r="J125" s="1" t="s">
        <v>228</v>
      </c>
      <c r="K125" s="1" t="s">
        <v>222</v>
      </c>
      <c r="L125" s="1" t="s">
        <v>402</v>
      </c>
      <c r="M125" s="1" t="s">
        <v>425</v>
      </c>
      <c r="N125" s="1" t="s">
        <v>224</v>
      </c>
      <c r="O125" s="1" t="s">
        <v>1629</v>
      </c>
      <c r="P125" s="1" t="s">
        <v>457</v>
      </c>
      <c r="R125" s="1" t="s">
        <v>532</v>
      </c>
      <c r="S125" s="6" t="s">
        <v>2269</v>
      </c>
      <c r="T125" s="6" t="s">
        <v>2270</v>
      </c>
      <c r="V125" s="6" t="s">
        <v>2271</v>
      </c>
      <c r="X125" s="6" t="s">
        <v>2272</v>
      </c>
      <c r="Z125" s="1">
        <v>4</v>
      </c>
      <c r="AA125" s="1">
        <v>4</v>
      </c>
      <c r="AB125" s="7" t="s">
        <v>566</v>
      </c>
      <c r="AC125" s="1" t="s">
        <v>590</v>
      </c>
      <c r="AD125" s="1" t="s">
        <v>573</v>
      </c>
      <c r="AE125" s="7" t="s">
        <v>225</v>
      </c>
      <c r="AF125" s="6"/>
      <c r="AG125" s="6" t="s">
        <v>1630</v>
      </c>
      <c r="AH125" s="6" t="s">
        <v>1631</v>
      </c>
      <c r="AK125" s="23" cm="1">
        <f t="array" ref="AK125">_xlfn.IFS(AC125="Principles observation",1, AC125="Concept formulation",2, AC125="Proof-of-concept simulation", 3, AC125="Core function validation", 4, AC125="Integration component testing", 5, AC125="Component validation in relevant environment", 6, AC125="Subsystem demonstration in relevant environment", 7, AC125="System demonstration in operational environment", 8, AC125="Production qualification", 9, AC125="Mission-proven operations", 10)</f>
        <v>5</v>
      </c>
      <c r="AL125" s="23" cm="1">
        <f t="array" ref="AL125">_xlfn.IFS(AD125="Assistive GenAI", 1, AD125="GenAI-led with human oversight", 2, AD125="Autonomous process learning", 3)</f>
        <v>1</v>
      </c>
    </row>
    <row r="126" spans="1:38" ht="55.95" customHeight="1" x14ac:dyDescent="0.3">
      <c r="A126" s="32">
        <v>163</v>
      </c>
      <c r="B126" s="6" t="s">
        <v>1308</v>
      </c>
      <c r="C126" s="10" t="s">
        <v>1318</v>
      </c>
      <c r="D126" s="7">
        <v>2025</v>
      </c>
      <c r="E126" s="13" t="s">
        <v>60</v>
      </c>
      <c r="F126" s="7">
        <v>0</v>
      </c>
      <c r="G126" s="1" t="str">
        <f t="shared" si="7"/>
        <v>AlMahri, S.</v>
      </c>
      <c r="H126" s="28" t="s">
        <v>1329</v>
      </c>
      <c r="I126" s="15" t="s">
        <v>1338</v>
      </c>
      <c r="J126" s="1" t="s">
        <v>228</v>
      </c>
      <c r="K126" s="1" t="s">
        <v>222</v>
      </c>
      <c r="L126" s="1" t="s">
        <v>402</v>
      </c>
      <c r="M126" s="1" t="s">
        <v>425</v>
      </c>
      <c r="N126" s="1" t="s">
        <v>387</v>
      </c>
      <c r="O126" s="1" t="s">
        <v>1538</v>
      </c>
      <c r="P126" s="1" t="s">
        <v>398</v>
      </c>
      <c r="R126" s="1" t="s">
        <v>483</v>
      </c>
      <c r="S126" s="6" t="s">
        <v>2273</v>
      </c>
      <c r="T126" s="6" t="s">
        <v>2274</v>
      </c>
      <c r="U126" s="6" t="s">
        <v>2275</v>
      </c>
      <c r="V126" s="6" t="s">
        <v>2276</v>
      </c>
      <c r="X126" s="6" t="s">
        <v>2277</v>
      </c>
      <c r="Z126" s="1">
        <v>4</v>
      </c>
      <c r="AA126" s="1">
        <v>4</v>
      </c>
      <c r="AB126" s="7" t="s">
        <v>566</v>
      </c>
      <c r="AC126" s="1" t="s">
        <v>578</v>
      </c>
      <c r="AD126" s="1" t="s">
        <v>573</v>
      </c>
      <c r="AE126" s="7" t="s">
        <v>218</v>
      </c>
      <c r="AF126" s="6" t="s">
        <v>609</v>
      </c>
      <c r="AG126" s="6" t="s">
        <v>1632</v>
      </c>
      <c r="AH126" s="6" t="s">
        <v>1633</v>
      </c>
      <c r="AI126" s="6" t="s">
        <v>1625</v>
      </c>
      <c r="AK126" s="23" cm="1">
        <f t="array" ref="AK126">_xlfn.IFS(AC126="Principles observation",1, AC126="Concept formulation",2, AC126="Proof-of-concept simulation", 3, AC126="Core function validation", 4, AC126="Integration component testing", 5, AC126="Component validation in relevant environment", 6, AC126="Subsystem demonstration in relevant environment", 7, AC126="System demonstration in operational environment", 8, AC126="Production qualification", 9, AC126="Mission-proven operations", 10)</f>
        <v>4</v>
      </c>
      <c r="AL126" s="23" cm="1">
        <f t="array" ref="AL126">_xlfn.IFS(AD126="Assistive GenAI", 1, AD126="GenAI-led with human oversight", 2, AD126="Autonomous process learning", 3)</f>
        <v>1</v>
      </c>
    </row>
    <row r="127" spans="1:38" ht="55.95" customHeight="1" x14ac:dyDescent="0.3">
      <c r="A127" s="32">
        <v>164</v>
      </c>
      <c r="B127" s="6" t="s">
        <v>1309</v>
      </c>
      <c r="C127" s="10" t="s">
        <v>1319</v>
      </c>
      <c r="D127" s="7">
        <v>2025</v>
      </c>
      <c r="E127" s="13" t="s">
        <v>64</v>
      </c>
      <c r="F127" s="7">
        <v>0</v>
      </c>
      <c r="G127" s="1" t="str">
        <f t="shared" si="7"/>
        <v>Ding, P.</v>
      </c>
      <c r="H127" s="28" t="s">
        <v>1144</v>
      </c>
      <c r="I127" s="15" t="s">
        <v>1339</v>
      </c>
      <c r="J127" s="1" t="s">
        <v>228</v>
      </c>
      <c r="K127" s="1" t="s">
        <v>222</v>
      </c>
      <c r="L127" s="1" t="s">
        <v>402</v>
      </c>
      <c r="M127" s="1" t="s">
        <v>425</v>
      </c>
      <c r="N127" s="1" t="s">
        <v>383</v>
      </c>
      <c r="O127" s="1" t="s">
        <v>393</v>
      </c>
      <c r="P127" s="1" t="s">
        <v>457</v>
      </c>
      <c r="R127" s="1" t="s">
        <v>1634</v>
      </c>
      <c r="S127" s="6" t="s">
        <v>2278</v>
      </c>
      <c r="T127" s="6" t="s">
        <v>2279</v>
      </c>
      <c r="V127" s="6" t="s">
        <v>2280</v>
      </c>
      <c r="X127" s="6" t="s">
        <v>2281</v>
      </c>
      <c r="Z127" s="1">
        <v>4</v>
      </c>
      <c r="AA127" s="1">
        <v>4</v>
      </c>
      <c r="AB127" s="7" t="s">
        <v>566</v>
      </c>
      <c r="AC127" s="1" t="s">
        <v>590</v>
      </c>
      <c r="AD127" s="1" t="s">
        <v>574</v>
      </c>
      <c r="AE127" s="7" t="s">
        <v>225</v>
      </c>
      <c r="AF127" s="6"/>
      <c r="AG127" s="6" t="s">
        <v>1635</v>
      </c>
      <c r="AH127" s="6" t="s">
        <v>1636</v>
      </c>
      <c r="AK127" s="23" cm="1">
        <f t="array" ref="AK127">_xlfn.IFS(AC127="Principles observation",1, AC127="Concept formulation",2, AC127="Proof-of-concept simulation", 3, AC127="Core function validation", 4, AC127="Integration component testing", 5, AC127="Component validation in relevant environment", 6, AC127="Subsystem demonstration in relevant environment", 7, AC127="System demonstration in operational environment", 8, AC127="Production qualification", 9, AC127="Mission-proven operations", 10)</f>
        <v>5</v>
      </c>
      <c r="AL127" s="23" cm="1">
        <f t="array" ref="AL127">_xlfn.IFS(AD127="Assistive GenAI", 1, AD127="GenAI-led with human oversight", 2, AD127="Autonomous process learning", 3)</f>
        <v>2</v>
      </c>
    </row>
    <row r="128" spans="1:38" ht="55.95" customHeight="1" x14ac:dyDescent="0.3">
      <c r="A128" s="32">
        <v>165</v>
      </c>
      <c r="B128" s="6" t="s">
        <v>1310</v>
      </c>
      <c r="C128" s="10" t="s">
        <v>1320</v>
      </c>
      <c r="D128" s="7">
        <v>2025</v>
      </c>
      <c r="E128" s="13" t="s">
        <v>1136</v>
      </c>
      <c r="F128" s="7">
        <v>0</v>
      </c>
      <c r="G128" s="1" t="str">
        <f t="shared" si="7"/>
        <v>Zhang, J.</v>
      </c>
      <c r="H128" s="28" t="s">
        <v>1330</v>
      </c>
      <c r="I128" s="15" t="s">
        <v>1340</v>
      </c>
      <c r="J128" s="1" t="s">
        <v>228</v>
      </c>
      <c r="K128" s="1" t="s">
        <v>222</v>
      </c>
      <c r="L128" s="1" t="s">
        <v>402</v>
      </c>
      <c r="M128" s="1" t="s">
        <v>425</v>
      </c>
      <c r="N128" s="1" t="s">
        <v>383</v>
      </c>
      <c r="O128" s="1" t="s">
        <v>454</v>
      </c>
      <c r="P128" s="1" t="s">
        <v>1478</v>
      </c>
      <c r="R128" s="1" t="s">
        <v>1590</v>
      </c>
      <c r="S128" s="6" t="s">
        <v>2282</v>
      </c>
      <c r="T128" s="6" t="s">
        <v>2283</v>
      </c>
      <c r="V128" s="6" t="s">
        <v>2284</v>
      </c>
      <c r="X128" s="6" t="s">
        <v>2285</v>
      </c>
      <c r="Z128" s="1">
        <v>4</v>
      </c>
      <c r="AA128" s="1">
        <v>4</v>
      </c>
      <c r="AB128" s="7" t="s">
        <v>566</v>
      </c>
      <c r="AC128" s="1" t="s">
        <v>578</v>
      </c>
      <c r="AD128" s="1" t="s">
        <v>573</v>
      </c>
      <c r="AE128" s="7" t="s">
        <v>218</v>
      </c>
      <c r="AF128" s="6" t="s">
        <v>609</v>
      </c>
      <c r="AG128" s="6" t="s">
        <v>1637</v>
      </c>
      <c r="AH128" s="6" t="s">
        <v>1638</v>
      </c>
      <c r="AI128" s="6" t="s">
        <v>1625</v>
      </c>
      <c r="AK128" s="23" cm="1">
        <f t="array" ref="AK128">_xlfn.IFS(AC128="Principles observation",1, AC128="Concept formulation",2, AC128="Proof-of-concept simulation", 3, AC128="Core function validation", 4, AC128="Integration component testing", 5, AC128="Component validation in relevant environment", 6, AC128="Subsystem demonstration in relevant environment", 7, AC128="System demonstration in operational environment", 8, AC128="Production qualification", 9, AC128="Mission-proven operations", 10)</f>
        <v>4</v>
      </c>
      <c r="AL128" s="23" cm="1">
        <f t="array" ref="AL128">_xlfn.IFS(AD128="Assistive GenAI", 1, AD128="GenAI-led with human oversight", 2, AD128="Autonomous process learning", 3)</f>
        <v>1</v>
      </c>
    </row>
    <row r="129" spans="1:38" ht="55.95" customHeight="1" x14ac:dyDescent="0.3">
      <c r="A129" s="32">
        <v>166</v>
      </c>
      <c r="B129" s="6" t="s">
        <v>1311</v>
      </c>
      <c r="C129" s="10" t="s">
        <v>1321</v>
      </c>
      <c r="D129" s="7">
        <v>2025</v>
      </c>
      <c r="E129" s="13" t="s">
        <v>63</v>
      </c>
      <c r="F129" s="7">
        <v>0</v>
      </c>
      <c r="G129" s="1" t="str">
        <f t="shared" si="7"/>
        <v>Li, H.</v>
      </c>
      <c r="H129" s="28" t="s">
        <v>1331</v>
      </c>
      <c r="I129" s="15" t="s">
        <v>1341</v>
      </c>
      <c r="J129" s="1" t="s">
        <v>228</v>
      </c>
      <c r="K129" s="1" t="s">
        <v>222</v>
      </c>
      <c r="L129" s="1" t="s">
        <v>402</v>
      </c>
      <c r="M129" s="1" t="s">
        <v>425</v>
      </c>
      <c r="N129" s="1" t="s">
        <v>383</v>
      </c>
      <c r="O129" s="1" t="s">
        <v>1639</v>
      </c>
      <c r="P129" s="1" t="s">
        <v>1640</v>
      </c>
      <c r="R129" s="1" t="s">
        <v>1641</v>
      </c>
      <c r="S129" s="6" t="s">
        <v>2286</v>
      </c>
      <c r="T129" s="6" t="s">
        <v>2287</v>
      </c>
      <c r="V129" s="6" t="s">
        <v>2288</v>
      </c>
      <c r="X129" s="6" t="s">
        <v>2289</v>
      </c>
      <c r="Z129" s="1">
        <v>4</v>
      </c>
      <c r="AA129" s="1">
        <v>4</v>
      </c>
      <c r="AB129" s="7" t="s">
        <v>566</v>
      </c>
      <c r="AC129" s="1" t="s">
        <v>590</v>
      </c>
      <c r="AD129" s="1" t="s">
        <v>575</v>
      </c>
      <c r="AE129" s="7" t="s">
        <v>218</v>
      </c>
      <c r="AF129" s="6" t="s">
        <v>743</v>
      </c>
      <c r="AG129" s="6" t="s">
        <v>1642</v>
      </c>
      <c r="AH129" s="6" t="s">
        <v>1643</v>
      </c>
      <c r="AI129" s="6" t="s">
        <v>1644</v>
      </c>
      <c r="AK129" s="23" cm="1">
        <f t="array" ref="AK129">_xlfn.IFS(AC129="Principles observation",1, AC129="Concept formulation",2, AC129="Proof-of-concept simulation", 3, AC129="Core function validation", 4, AC129="Integration component testing", 5, AC129="Component validation in relevant environment", 6, AC129="Subsystem demonstration in relevant environment", 7, AC129="System demonstration in operational environment", 8, AC129="Production qualification", 9, AC129="Mission-proven operations", 10)</f>
        <v>5</v>
      </c>
      <c r="AL129" s="23" cm="1">
        <f t="array" ref="AL129">_xlfn.IFS(AD129="Assistive GenAI", 1, AD129="GenAI-led with human oversight", 2, AD129="Autonomous process learning", 3)</f>
        <v>3</v>
      </c>
    </row>
    <row r="130" spans="1:38" ht="55.95" customHeight="1" x14ac:dyDescent="0.3">
      <c r="A130" s="32">
        <v>167</v>
      </c>
      <c r="B130" s="6" t="s">
        <v>1312</v>
      </c>
      <c r="C130" s="10" t="s">
        <v>1322</v>
      </c>
      <c r="D130" s="7">
        <v>2025</v>
      </c>
      <c r="E130" s="13" t="s">
        <v>60</v>
      </c>
      <c r="F130" s="7">
        <v>0</v>
      </c>
      <c r="G130" s="1" t="str">
        <f t="shared" si="7"/>
        <v>Boudribila, A.</v>
      </c>
      <c r="H130" s="28" t="s">
        <v>1332</v>
      </c>
      <c r="I130" s="15" t="s">
        <v>1342</v>
      </c>
      <c r="J130" s="1" t="s">
        <v>228</v>
      </c>
      <c r="K130" s="1" t="s">
        <v>222</v>
      </c>
      <c r="L130" s="1" t="s">
        <v>402</v>
      </c>
      <c r="M130" s="1" t="s">
        <v>425</v>
      </c>
      <c r="N130" s="1" t="s">
        <v>383</v>
      </c>
      <c r="O130" s="1" t="s">
        <v>1645</v>
      </c>
      <c r="R130" s="1" t="s">
        <v>386</v>
      </c>
      <c r="S130" s="6" t="s">
        <v>2290</v>
      </c>
      <c r="T130" s="6" t="s">
        <v>2291</v>
      </c>
      <c r="U130" s="6" t="s">
        <v>2292</v>
      </c>
      <c r="V130" s="6" t="s">
        <v>2293</v>
      </c>
      <c r="X130" s="6" t="s">
        <v>2294</v>
      </c>
      <c r="Z130" s="1">
        <v>4</v>
      </c>
      <c r="AA130" s="1">
        <v>4</v>
      </c>
      <c r="AB130" s="7" t="s">
        <v>566</v>
      </c>
      <c r="AC130" s="1" t="s">
        <v>578</v>
      </c>
      <c r="AD130" s="1" t="s">
        <v>573</v>
      </c>
      <c r="AE130" s="7" t="s">
        <v>225</v>
      </c>
      <c r="AF130" s="6"/>
      <c r="AG130" s="6" t="s">
        <v>1646</v>
      </c>
      <c r="AH130" s="6" t="s">
        <v>1647</v>
      </c>
      <c r="AK130" s="23" cm="1">
        <f t="array" ref="AK130">_xlfn.IFS(AC130="Principles observation",1, AC130="Concept formulation",2, AC130="Proof-of-concept simulation", 3, AC130="Core function validation", 4, AC130="Integration component testing", 5, AC130="Component validation in relevant environment", 6, AC130="Subsystem demonstration in relevant environment", 7, AC130="System demonstration in operational environment", 8, AC130="Production qualification", 9, AC130="Mission-proven operations", 10)</f>
        <v>4</v>
      </c>
      <c r="AL130" s="23" cm="1">
        <f t="array" ref="AL130">_xlfn.IFS(AD130="Assistive GenAI", 1, AD130="GenAI-led with human oversight", 2, AD130="Autonomous process learning", 3)</f>
        <v>1</v>
      </c>
    </row>
    <row r="131" spans="1:38" ht="55.95" customHeight="1" x14ac:dyDescent="0.3">
      <c r="A131" s="32">
        <v>176</v>
      </c>
      <c r="B131" s="6" t="s">
        <v>1351</v>
      </c>
      <c r="C131" s="10" t="s">
        <v>1379</v>
      </c>
      <c r="D131" s="7">
        <v>2025</v>
      </c>
      <c r="E131" s="13" t="s">
        <v>60</v>
      </c>
      <c r="F131" s="7">
        <v>2</v>
      </c>
      <c r="G131" s="1" t="str">
        <f t="shared" si="7"/>
        <v>Zheng, G.</v>
      </c>
      <c r="H131" s="28" t="s">
        <v>1359</v>
      </c>
      <c r="I131" s="15" t="s">
        <v>1368</v>
      </c>
      <c r="J131" s="1" t="s">
        <v>228</v>
      </c>
      <c r="K131" s="1" t="s">
        <v>222</v>
      </c>
      <c r="L131" s="1" t="s">
        <v>402</v>
      </c>
      <c r="M131" s="1" t="s">
        <v>425</v>
      </c>
      <c r="N131" s="1" t="s">
        <v>387</v>
      </c>
      <c r="O131" s="1" t="s">
        <v>1538</v>
      </c>
      <c r="P131" s="1" t="s">
        <v>398</v>
      </c>
      <c r="R131" s="1" t="s">
        <v>1479</v>
      </c>
      <c r="S131" s="6" t="s">
        <v>2295</v>
      </c>
      <c r="T131" s="6" t="s">
        <v>2296</v>
      </c>
      <c r="V131" s="6" t="s">
        <v>2297</v>
      </c>
      <c r="X131" s="6" t="s">
        <v>2298</v>
      </c>
      <c r="Z131" s="1">
        <v>4</v>
      </c>
      <c r="AA131" s="1">
        <v>4</v>
      </c>
      <c r="AB131" s="7" t="s">
        <v>566</v>
      </c>
      <c r="AC131" s="1" t="s">
        <v>578</v>
      </c>
      <c r="AD131" s="1" t="s">
        <v>573</v>
      </c>
      <c r="AE131" s="7" t="s">
        <v>218</v>
      </c>
      <c r="AF131" s="6" t="s">
        <v>1661</v>
      </c>
      <c r="AG131" s="6" t="s">
        <v>1660</v>
      </c>
      <c r="AH131" s="6" t="s">
        <v>1662</v>
      </c>
      <c r="AI131" s="6" t="s">
        <v>1663</v>
      </c>
      <c r="AK131" s="23" cm="1">
        <f t="array" ref="AK131">_xlfn.IFS(AC131="Principles observation",1, AC131="Concept formulation",2, AC131="Proof-of-concept simulation", 3, AC131="Core function validation", 4, AC131="Integration component testing", 5, AC131="Component validation in relevant environment", 6, AC131="Subsystem demonstration in relevant environment", 7, AC131="System demonstration in operational environment", 8, AC131="Production qualification", 9, AC131="Mission-proven operations", 10)</f>
        <v>4</v>
      </c>
      <c r="AL131" s="23" cm="1">
        <f t="array" ref="AL131">_xlfn.IFS(AD131="Assistive GenAI", 1, AD131="GenAI-led with human oversight", 2, AD131="Autonomous process learning", 3)</f>
        <v>1</v>
      </c>
    </row>
    <row r="132" spans="1:38" ht="55.95" customHeight="1" x14ac:dyDescent="0.3">
      <c r="A132" s="32">
        <v>181</v>
      </c>
      <c r="B132" s="6" t="s">
        <v>1354</v>
      </c>
      <c r="C132" s="10" t="s">
        <v>1380</v>
      </c>
      <c r="D132" s="7">
        <v>2024</v>
      </c>
      <c r="E132" s="13" t="s">
        <v>317</v>
      </c>
      <c r="F132" s="7">
        <v>11</v>
      </c>
      <c r="G132" s="1" t="str">
        <f t="shared" si="7"/>
        <v>Lin, K.-Y.</v>
      </c>
      <c r="H132" s="28" t="s">
        <v>1357</v>
      </c>
      <c r="I132" s="15" t="s">
        <v>1371</v>
      </c>
      <c r="J132" s="1" t="s">
        <v>228</v>
      </c>
      <c r="K132" s="1" t="s">
        <v>222</v>
      </c>
      <c r="L132" s="1" t="s">
        <v>402</v>
      </c>
      <c r="M132" s="1" t="s">
        <v>217</v>
      </c>
      <c r="N132" s="1" t="s">
        <v>383</v>
      </c>
      <c r="O132" s="1" t="s">
        <v>460</v>
      </c>
      <c r="P132" s="1" t="s">
        <v>457</v>
      </c>
      <c r="R132" s="1" t="s">
        <v>1524</v>
      </c>
      <c r="S132" s="6" t="s">
        <v>2299</v>
      </c>
      <c r="T132" s="6" t="s">
        <v>2300</v>
      </c>
      <c r="U132" s="6" t="s">
        <v>2301</v>
      </c>
      <c r="V132" s="6" t="s">
        <v>2302</v>
      </c>
      <c r="X132" s="6" t="s">
        <v>2303</v>
      </c>
      <c r="Z132" s="1">
        <v>4</v>
      </c>
      <c r="AA132" s="1">
        <v>3</v>
      </c>
      <c r="AB132" s="7" t="s">
        <v>566</v>
      </c>
      <c r="AC132" s="1" t="s">
        <v>578</v>
      </c>
      <c r="AD132" s="1" t="s">
        <v>573</v>
      </c>
      <c r="AE132" s="7" t="s">
        <v>225</v>
      </c>
      <c r="AF132" s="6"/>
      <c r="AG132" s="6" t="s">
        <v>1664</v>
      </c>
      <c r="AH132" s="6" t="s">
        <v>1665</v>
      </c>
      <c r="AK132" s="23" cm="1">
        <f t="array" ref="AK132">_xlfn.IFS(AC132="Principles observation",1, AC132="Concept formulation",2, AC132="Proof-of-concept simulation", 3, AC132="Core function validation", 4, AC132="Integration component testing", 5, AC132="Component validation in relevant environment", 6, AC132="Subsystem demonstration in relevant environment", 7, AC132="System demonstration in operational environment", 8, AC132="Production qualification", 9, AC132="Mission-proven operations", 10)</f>
        <v>4</v>
      </c>
      <c r="AL132" s="23" cm="1">
        <f t="array" ref="AL132">_xlfn.IFS(AD132="Assistive GenAI", 1, AD132="GenAI-led with human oversight", 2, AD132="Autonomous process learning", 3)</f>
        <v>1</v>
      </c>
    </row>
    <row r="133" spans="1:38" ht="55.95" customHeight="1" x14ac:dyDescent="0.3">
      <c r="A133" s="32">
        <v>185</v>
      </c>
      <c r="B133" s="6" t="s">
        <v>1452</v>
      </c>
      <c r="C133" s="10" t="s">
        <v>1455</v>
      </c>
      <c r="D133" s="7">
        <v>2024</v>
      </c>
      <c r="E133" s="13" t="s">
        <v>1458</v>
      </c>
      <c r="F133" s="7">
        <v>6</v>
      </c>
      <c r="G133" s="1" t="str">
        <f t="shared" si="7"/>
        <v>Zhu, Z.</v>
      </c>
      <c r="H133" s="28" t="s">
        <v>1460</v>
      </c>
      <c r="I133" s="15" t="s">
        <v>1462</v>
      </c>
      <c r="J133" s="1" t="s">
        <v>228</v>
      </c>
      <c r="K133" s="1" t="s">
        <v>222</v>
      </c>
      <c r="L133" s="1" t="s">
        <v>402</v>
      </c>
      <c r="M133" s="1" t="s">
        <v>425</v>
      </c>
      <c r="N133" s="1" t="s">
        <v>471</v>
      </c>
      <c r="O133" s="1" t="s">
        <v>1667</v>
      </c>
      <c r="R133" s="1" t="s">
        <v>1666</v>
      </c>
      <c r="S133" s="6" t="s">
        <v>2304</v>
      </c>
      <c r="T133" s="6" t="s">
        <v>2305</v>
      </c>
      <c r="V133" s="6" t="s">
        <v>2306</v>
      </c>
      <c r="X133" s="6" t="s">
        <v>2307</v>
      </c>
      <c r="Z133" s="1">
        <v>3</v>
      </c>
      <c r="AA133" s="1">
        <v>3</v>
      </c>
      <c r="AB133" s="7" t="s">
        <v>566</v>
      </c>
      <c r="AC133" s="1" t="s">
        <v>590</v>
      </c>
      <c r="AD133" s="1" t="s">
        <v>574</v>
      </c>
      <c r="AE133" s="7" t="s">
        <v>225</v>
      </c>
      <c r="AF133" s="6"/>
      <c r="AG133" s="6" t="s">
        <v>1668</v>
      </c>
      <c r="AH133" s="6" t="s">
        <v>1669</v>
      </c>
      <c r="AK133" s="23" cm="1">
        <f t="array" ref="AK133">_xlfn.IFS(AC133="Principles observation",1, AC133="Concept formulation",2, AC133="Proof-of-concept simulation", 3, AC133="Core function validation", 4, AC133="Integration component testing", 5, AC133="Component validation in relevant environment", 6, AC133="Subsystem demonstration in relevant environment", 7, AC133="System demonstration in operational environment", 8, AC133="Production qualification", 9, AC133="Mission-proven operations", 10)</f>
        <v>5</v>
      </c>
      <c r="AL133" s="23" cm="1">
        <f t="array" ref="AL133">_xlfn.IFS(AD133="Assistive GenAI", 1, AD133="GenAI-led with human oversight", 2, AD133="Autonomous process learning", 3)</f>
        <v>2</v>
      </c>
    </row>
    <row r="134" spans="1:38" ht="55.95" customHeight="1" x14ac:dyDescent="0.3">
      <c r="A134" s="32">
        <v>186</v>
      </c>
      <c r="B134" s="6" t="s">
        <v>1453</v>
      </c>
      <c r="C134" s="10" t="s">
        <v>1456</v>
      </c>
      <c r="D134" s="7">
        <v>2024</v>
      </c>
      <c r="E134" s="13" t="s">
        <v>1459</v>
      </c>
      <c r="F134" s="7">
        <v>4</v>
      </c>
      <c r="G134" s="1" t="str">
        <f t="shared" si="7"/>
        <v>MacAluso, A.</v>
      </c>
      <c r="H134" s="28" t="s">
        <v>1461</v>
      </c>
      <c r="J134" s="1" t="s">
        <v>228</v>
      </c>
      <c r="K134" s="1" t="s">
        <v>222</v>
      </c>
      <c r="L134" s="1" t="s">
        <v>402</v>
      </c>
      <c r="M134" s="1" t="s">
        <v>217</v>
      </c>
      <c r="N134" s="1" t="s">
        <v>383</v>
      </c>
      <c r="O134" s="1" t="s">
        <v>393</v>
      </c>
      <c r="P134" s="1" t="s">
        <v>457</v>
      </c>
      <c r="R134" s="1" t="s">
        <v>423</v>
      </c>
      <c r="S134" s="6" t="s">
        <v>2308</v>
      </c>
      <c r="T134" s="6" t="s">
        <v>2309</v>
      </c>
      <c r="V134" s="6" t="s">
        <v>2310</v>
      </c>
      <c r="X134" s="6" t="s">
        <v>2311</v>
      </c>
      <c r="Z134" s="1">
        <v>4</v>
      </c>
      <c r="AA134" s="1">
        <v>3</v>
      </c>
      <c r="AB134" s="7" t="s">
        <v>566</v>
      </c>
      <c r="AC134" s="1" t="s">
        <v>590</v>
      </c>
      <c r="AD134" s="1" t="s">
        <v>574</v>
      </c>
      <c r="AE134" s="7" t="s">
        <v>225</v>
      </c>
      <c r="AF134" s="6"/>
      <c r="AG134" s="6" t="s">
        <v>1670</v>
      </c>
      <c r="AH134" s="6" t="s">
        <v>1671</v>
      </c>
      <c r="AK134" s="23" cm="1">
        <f t="array" ref="AK134">_xlfn.IFS(AC134="Principles observation",1, AC134="Concept formulation",2, AC134="Proof-of-concept simulation", 3, AC134="Core function validation", 4, AC134="Integration component testing", 5, AC134="Component validation in relevant environment", 6, AC134="Subsystem demonstration in relevant environment", 7, AC134="System demonstration in operational environment", 8, AC134="Production qualification", 9, AC134="Mission-proven operations", 10)</f>
        <v>5</v>
      </c>
      <c r="AL134" s="23" cm="1">
        <f t="array" ref="AL134">_xlfn.IFS(AD134="Assistive GenAI", 1, AD134="GenAI-led with human oversight", 2, AD134="Autonomous process learning", 3)</f>
        <v>2</v>
      </c>
    </row>
    <row r="135" spans="1:38" ht="55.95" customHeight="1" x14ac:dyDescent="0.3">
      <c r="A135" s="1"/>
      <c r="G135" s="1"/>
      <c r="AD135" s="8" t="s">
        <v>737</v>
      </c>
      <c r="AE135" s="7">
        <f xml:space="preserve"> COUNTIF(AE2:AE134,"Y") + COUNTIF(AE2:AE134,"N")</f>
        <v>133</v>
      </c>
      <c r="AF135" s="6"/>
      <c r="AG135" s="6"/>
    </row>
    <row r="136" spans="1:38" ht="55.95" customHeight="1" x14ac:dyDescent="0.3">
      <c r="AD136" s="8" t="s">
        <v>738</v>
      </c>
      <c r="AE136" s="7">
        <f xml:space="preserve"> COUNTIF(AE2:AE134,"Y")</f>
        <v>114</v>
      </c>
    </row>
    <row r="137" spans="1:38" ht="55.95" customHeight="1" x14ac:dyDescent="0.3">
      <c r="AD137" s="8" t="s">
        <v>736</v>
      </c>
      <c r="AE137" s="7">
        <f>COUNTIF(AE2:AE134,"Y") / (COUNTIF(AE2:AE134,"Y") + COUNTIF(AE2:AE134,"N")) * 100</f>
        <v>85.714285714285708</v>
      </c>
    </row>
  </sheetData>
  <autoFilter ref="A1:HM137" xr:uid="{66E40A08-5364-41C8-9684-0DF6836ECA42}"/>
  <sortState xmlns:xlrd2="http://schemas.microsoft.com/office/spreadsheetml/2017/richdata2" ref="B2:AB71">
    <sortCondition ref="D2:D71"/>
    <sortCondition descending="1" ref="F2:F71"/>
  </sortState>
  <conditionalFormatting sqref="AG12">
    <cfRule type="cellIs" dxfId="2" priority="3" operator="equal">
      <formula>"Y"</formula>
    </cfRule>
  </conditionalFormatting>
  <conditionalFormatting sqref="AH23 V37:X37">
    <cfRule type="cellIs" dxfId="1" priority="7" operator="equal">
      <formula>"Y"</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1EF1D-F732-4958-BE76-DECD69124405}">
  <dimension ref="A1:R165"/>
  <sheetViews>
    <sheetView zoomScale="85" zoomScaleNormal="85" workbookViewId="0">
      <selection activeCell="I5" sqref="I5"/>
    </sheetView>
  </sheetViews>
  <sheetFormatPr defaultRowHeight="14.7" customHeight="1" x14ac:dyDescent="0.3"/>
  <cols>
    <col min="1" max="1" width="12.21875" bestFit="1" customWidth="1"/>
    <col min="2" max="2" width="15.5546875" bestFit="1" customWidth="1"/>
    <col min="3" max="4" width="4.88671875" bestFit="1" customWidth="1"/>
    <col min="5" max="5" width="10.6640625" bestFit="1" customWidth="1"/>
    <col min="6" max="9" width="7.33203125" customWidth="1"/>
    <col min="10" max="10" width="101.44140625" bestFit="1" customWidth="1"/>
    <col min="11" max="11" width="25.21875" bestFit="1" customWidth="1"/>
    <col min="12" max="12" width="23.109375" customWidth="1"/>
    <col min="13" max="13" width="21.6640625" bestFit="1" customWidth="1"/>
    <col min="14" max="14" width="18.44140625" bestFit="1" customWidth="1"/>
    <col min="15" max="15" width="59.5546875" style="20" customWidth="1"/>
    <col min="16" max="16" width="11.6640625" customWidth="1"/>
    <col min="17" max="17" width="220.6640625" bestFit="1" customWidth="1"/>
    <col min="18" max="18" width="27.109375" bestFit="1" customWidth="1"/>
  </cols>
  <sheetData>
    <row r="1" spans="1:18" ht="17.7" customHeight="1" x14ac:dyDescent="0.3">
      <c r="B1" s="3" t="s">
        <v>205</v>
      </c>
      <c r="J1" s="3" t="s">
        <v>207</v>
      </c>
      <c r="K1" t="s">
        <v>209</v>
      </c>
      <c r="M1" s="3" t="s">
        <v>207</v>
      </c>
      <c r="N1" t="s">
        <v>210</v>
      </c>
      <c r="O1" s="2" t="s">
        <v>219</v>
      </c>
      <c r="P1" s="2"/>
      <c r="Q1" s="3" t="s">
        <v>207</v>
      </c>
      <c r="R1" t="s">
        <v>211</v>
      </c>
    </row>
    <row r="2" spans="1:18" ht="28.8" x14ac:dyDescent="0.3">
      <c r="B2">
        <v>2024</v>
      </c>
      <c r="C2">
        <v>2025</v>
      </c>
      <c r="D2">
        <v>2026</v>
      </c>
      <c r="E2" t="s">
        <v>206</v>
      </c>
      <c r="J2" s="4" t="s">
        <v>59</v>
      </c>
      <c r="K2">
        <v>21</v>
      </c>
      <c r="M2" s="5" t="s">
        <v>148</v>
      </c>
      <c r="N2">
        <v>3</v>
      </c>
      <c r="O2" s="40" t="str">
        <f>_xlfn.XLOOKUP(M2, 'EN articles'!G:G, 'EN articles'!H:H, "Not found")</f>
        <v>Fraunhofer Institute for Manufacturing Engineering and Automation IPA, Nobelstraße 12, Stuttgart, 70569, Germany</v>
      </c>
      <c r="Q2" s="4" t="s">
        <v>1144</v>
      </c>
      <c r="R2">
        <v>6</v>
      </c>
    </row>
    <row r="3" spans="1:18" ht="28.8" x14ac:dyDescent="0.3">
      <c r="A3" t="s">
        <v>208</v>
      </c>
      <c r="B3">
        <v>25</v>
      </c>
      <c r="C3">
        <v>80</v>
      </c>
      <c r="D3">
        <v>28</v>
      </c>
      <c r="E3">
        <v>133</v>
      </c>
      <c r="J3" s="4" t="s">
        <v>58</v>
      </c>
      <c r="K3">
        <v>19</v>
      </c>
      <c r="M3" s="5" t="s">
        <v>134</v>
      </c>
      <c r="N3">
        <v>2</v>
      </c>
      <c r="O3" s="40" t="str">
        <f>_xlfn.XLOOKUP(M3, 'EN articles'!G:G, 'EN articles'!H:H, "Not found")</f>
        <v>College of Mechanical Engineering, Donghua University, Shanghai, 201620, China</v>
      </c>
      <c r="Q3" s="5" t="s">
        <v>177</v>
      </c>
      <c r="R3">
        <v>5</v>
      </c>
    </row>
    <row r="4" spans="1:18" ht="28.8" x14ac:dyDescent="0.3">
      <c r="J4" s="4" t="s">
        <v>62</v>
      </c>
      <c r="K4">
        <v>17</v>
      </c>
      <c r="M4" s="4" t="s">
        <v>1389</v>
      </c>
      <c r="N4">
        <v>2</v>
      </c>
      <c r="O4" s="40" t="str">
        <f>_xlfn.XLOOKUP(M4, 'EN articles'!G:G, 'EN articles'!H:H, "Not found")</f>
        <v>College of Mechanical Engineering, Donghua University, Shanghai, Shanghai, China</v>
      </c>
      <c r="Q4" s="5" t="s">
        <v>181</v>
      </c>
      <c r="R4">
        <v>4</v>
      </c>
    </row>
    <row r="5" spans="1:18" ht="72" x14ac:dyDescent="0.3">
      <c r="J5" s="4" t="s">
        <v>66</v>
      </c>
      <c r="K5">
        <v>10</v>
      </c>
      <c r="M5" s="5" t="s">
        <v>161</v>
      </c>
      <c r="N5">
        <v>2</v>
      </c>
      <c r="O5" s="40" t="str">
        <f>_xlfn.XLOOKUP(M5, 'EN articles'!G:G, 'EN articles'!H:H, "Not found")</f>
        <v>The College of Electronics and Information Engineering, Shanghai Research Institute for Intelligent Autonomous Systems, the National Key Laboratory of Autonomous Intelligent Unmanned Systems, The Frontiers Science Center for Intelligent Autonomous Systems, Tongji University, Shanghai, 201804, China</v>
      </c>
      <c r="Q5" s="4" t="s">
        <v>1147</v>
      </c>
      <c r="R5">
        <v>3</v>
      </c>
    </row>
    <row r="6" spans="1:18" ht="28.8" x14ac:dyDescent="0.3">
      <c r="J6" s="4" t="s">
        <v>57</v>
      </c>
      <c r="K6">
        <v>8</v>
      </c>
      <c r="L6" s="14"/>
      <c r="M6" s="5" t="s">
        <v>137</v>
      </c>
      <c r="N6">
        <v>2</v>
      </c>
      <c r="O6" s="40" t="str">
        <f>_xlfn.XLOOKUP(M6, 'EN articles'!G:G, 'EN articles'!H:H, "Not found")</f>
        <v>College of Artificial Intelligence, Southwest University, Chongqing, 400715, China</v>
      </c>
      <c r="Q6" s="5" t="s">
        <v>186</v>
      </c>
      <c r="R6">
        <v>3</v>
      </c>
    </row>
    <row r="7" spans="1:18" ht="28.8" x14ac:dyDescent="0.3">
      <c r="J7" s="4" t="s">
        <v>60</v>
      </c>
      <c r="K7">
        <v>8</v>
      </c>
      <c r="M7" s="5" t="s">
        <v>169</v>
      </c>
      <c r="N7">
        <v>2</v>
      </c>
      <c r="O7" s="40" t="str">
        <f>_xlfn.XLOOKUP(M7, 'EN articles'!G:G, 'EN articles'!H:H, "Not found")</f>
        <v>Edward P. Fitts Department of Industrial &amp; Systems Engineering, North Carolina State University, United States</v>
      </c>
      <c r="Q7" s="5" t="s">
        <v>193</v>
      </c>
      <c r="R7">
        <v>3</v>
      </c>
    </row>
    <row r="8" spans="1:18" ht="17.7" customHeight="1" x14ac:dyDescent="0.3">
      <c r="J8" s="4" t="s">
        <v>61</v>
      </c>
      <c r="K8">
        <v>6</v>
      </c>
      <c r="M8" s="4" t="s">
        <v>1386</v>
      </c>
      <c r="N8">
        <v>2</v>
      </c>
      <c r="O8" s="40" t="str">
        <f>_xlfn.XLOOKUP(M8, 'EN articles'!G:G, 'EN articles'!H:H, "Not found")</f>
        <v>College of Mechanical Engineering, Donghua University, Shanghai, Shanghai, China</v>
      </c>
      <c r="Q8" s="4" t="s">
        <v>1166</v>
      </c>
      <c r="R8">
        <v>2</v>
      </c>
    </row>
    <row r="9" spans="1:18" ht="28.8" x14ac:dyDescent="0.3">
      <c r="J9" s="4" t="s">
        <v>56</v>
      </c>
      <c r="K9">
        <v>6</v>
      </c>
      <c r="M9" s="5" t="s">
        <v>160</v>
      </c>
      <c r="N9">
        <v>2</v>
      </c>
      <c r="O9" s="40" t="str">
        <f>_xlfn.XLOOKUP(M9, 'EN articles'!G:G, 'EN articles'!H:H, "Not found")</f>
        <v>College of Mechanical and Electrical Engineering, Nanjing University of Aeronautics and Astronautics, Nanjing, 210016, China</v>
      </c>
      <c r="Q9" s="4" t="s">
        <v>353</v>
      </c>
      <c r="R9">
        <v>2</v>
      </c>
    </row>
    <row r="10" spans="1:18" ht="17.7" customHeight="1" x14ac:dyDescent="0.3">
      <c r="J10" s="4" t="s">
        <v>63</v>
      </c>
      <c r="K10">
        <v>6</v>
      </c>
      <c r="M10" s="4" t="s">
        <v>1385</v>
      </c>
      <c r="N10">
        <v>2</v>
      </c>
      <c r="O10" s="40" t="str">
        <f>_xlfn.XLOOKUP(M10, 'EN articles'!G:G, 'EN articles'!H:H, "Not found")</f>
        <v>School of Software Engineering, Xi'an Jiaotong University, Xi'an, Shaanxi, China</v>
      </c>
      <c r="Q10" s="4" t="s">
        <v>1175</v>
      </c>
      <c r="R10">
        <v>2</v>
      </c>
    </row>
    <row r="11" spans="1:18" ht="28.8" x14ac:dyDescent="0.3">
      <c r="J11" s="4" t="s">
        <v>317</v>
      </c>
      <c r="K11">
        <v>4</v>
      </c>
      <c r="L11" s="14"/>
      <c r="M11" s="5" t="s">
        <v>162</v>
      </c>
      <c r="N11">
        <v>2</v>
      </c>
      <c r="O11" s="40" t="str">
        <f>_xlfn.XLOOKUP(M11, 'EN articles'!G:G, 'EN articles'!H:H, "Not found")</f>
        <v>Mechanical Engineering Department, The University of Texas at San Antonio, San Antonio, TX, United States</v>
      </c>
      <c r="Q11" s="4" t="s">
        <v>187</v>
      </c>
      <c r="R11">
        <v>2</v>
      </c>
    </row>
    <row r="12" spans="1:18" ht="28.8" x14ac:dyDescent="0.3">
      <c r="J12" s="4" t="s">
        <v>64</v>
      </c>
      <c r="K12">
        <v>3</v>
      </c>
      <c r="L12" s="14"/>
      <c r="M12" s="5" t="s">
        <v>138</v>
      </c>
      <c r="N12">
        <v>2</v>
      </c>
      <c r="O12" s="40" t="str">
        <f>_xlfn.XLOOKUP(M12, 'EN articles'!G:G, 'EN articles'!H:H, "Not found")</f>
        <v>School of Mechanical Engineering, Xi’an Jiaotong University, No.28 Xianning West Road, Xi’an, 710049, China</v>
      </c>
      <c r="Q12" s="4" t="s">
        <v>213</v>
      </c>
      <c r="R12">
        <v>2</v>
      </c>
    </row>
    <row r="13" spans="1:18" ht="17.7" customHeight="1" x14ac:dyDescent="0.3">
      <c r="J13" s="4" t="s">
        <v>65</v>
      </c>
      <c r="K13">
        <v>3</v>
      </c>
      <c r="L13" s="14"/>
      <c r="M13" s="4" t="s">
        <v>1445</v>
      </c>
      <c r="N13">
        <v>1</v>
      </c>
      <c r="O13" s="40" t="str">
        <f>_xlfn.XLOOKUP(M13, 'EN articles'!G:G, 'EN articles'!H:H, "Not found")</f>
        <v>College of Computer and Cyber Security, Fujian Normal University, Fuzhou, Fujian, China</v>
      </c>
      <c r="Q13" s="4" t="s">
        <v>1172</v>
      </c>
      <c r="R13">
        <v>1</v>
      </c>
    </row>
    <row r="14" spans="1:18" ht="17.7" customHeight="1" x14ac:dyDescent="0.3">
      <c r="J14" s="4" t="s">
        <v>67</v>
      </c>
      <c r="K14">
        <v>3</v>
      </c>
      <c r="L14" s="14"/>
      <c r="M14" s="4" t="s">
        <v>1380</v>
      </c>
      <c r="N14">
        <v>1</v>
      </c>
      <c r="O14" s="40" t="str">
        <f>_xlfn.XLOOKUP(M14, 'EN articles'!G:G, 'EN articles'!H:H, "Not found")</f>
        <v>Department of Industrial Engineering and Management, National Kaohsiung University of Science and Technology, Kaohsiung, Taiwan</v>
      </c>
      <c r="Q14" s="4" t="s">
        <v>1156</v>
      </c>
      <c r="R14">
        <v>1</v>
      </c>
    </row>
    <row r="15" spans="1:18" ht="17.7" customHeight="1" x14ac:dyDescent="0.3">
      <c r="J15" s="4" t="s">
        <v>1137</v>
      </c>
      <c r="K15">
        <v>2</v>
      </c>
      <c r="M15" s="4" t="s">
        <v>170</v>
      </c>
      <c r="N15">
        <v>1</v>
      </c>
      <c r="O15" s="40" t="str">
        <f>_xlfn.XLOOKUP(M15, 'EN articles'!G:G, 'EN articles'!H:H, "Not found")</f>
        <v>Simulation Systems, ITP Aero, Francisca Delgado 9, Madrid, Alcobendas, Spain</v>
      </c>
      <c r="Q15" s="4" t="s">
        <v>1292</v>
      </c>
      <c r="R15">
        <v>1</v>
      </c>
    </row>
    <row r="16" spans="1:18" ht="17.7" customHeight="1" x14ac:dyDescent="0.3">
      <c r="J16" s="4" t="s">
        <v>1136</v>
      </c>
      <c r="K16">
        <v>2</v>
      </c>
      <c r="M16" s="4" t="s">
        <v>158</v>
      </c>
      <c r="N16">
        <v>1</v>
      </c>
      <c r="O16" s="40" t="str">
        <f>_xlfn.XLOOKUP(M16, 'EN articles'!G:G, 'EN articles'!H:H, "Not found")</f>
        <v>School of Mechanical Engineering, Pusan National University, Busan, 46241, South Korea</v>
      </c>
      <c r="Q16" s="4" t="s">
        <v>204</v>
      </c>
      <c r="R16">
        <v>1</v>
      </c>
    </row>
    <row r="17" spans="10:18" ht="17.7" customHeight="1" x14ac:dyDescent="0.3">
      <c r="J17" s="4" t="s">
        <v>1138</v>
      </c>
      <c r="K17">
        <v>2</v>
      </c>
      <c r="M17" s="4" t="s">
        <v>1424</v>
      </c>
      <c r="N17">
        <v>1</v>
      </c>
      <c r="O17" s="40" t="str">
        <f>_xlfn.XLOOKUP(M17, 'EN articles'!G:G, 'EN articles'!H:H, "Not found")</f>
        <v>College of Mechanical Engineering, Taiyuan University of Technology, Taiyuan, Shanxi, China</v>
      </c>
      <c r="Q17" s="4" t="s">
        <v>192</v>
      </c>
      <c r="R17">
        <v>1</v>
      </c>
    </row>
    <row r="18" spans="10:18" ht="17.7" customHeight="1" x14ac:dyDescent="0.3">
      <c r="J18" s="4" t="s">
        <v>1458</v>
      </c>
      <c r="K18">
        <v>1</v>
      </c>
      <c r="M18" s="4" t="s">
        <v>164</v>
      </c>
      <c r="N18">
        <v>1</v>
      </c>
      <c r="O18" s="40" t="str">
        <f>_xlfn.XLOOKUP(M18, 'EN articles'!G:G, 'EN articles'!H:H, "Not found")</f>
        <v>College of Mechanical and Electrical Engineering, Nanjing University of Aeronautics and Astronautics, Nanjing, 210016, China</v>
      </c>
      <c r="Q18" s="4" t="s">
        <v>198</v>
      </c>
      <c r="R18">
        <v>1</v>
      </c>
    </row>
    <row r="19" spans="10:18" ht="17.7" customHeight="1" x14ac:dyDescent="0.3">
      <c r="J19" s="4" t="s">
        <v>319</v>
      </c>
      <c r="K19">
        <v>1</v>
      </c>
      <c r="M19" s="4" t="s">
        <v>145</v>
      </c>
      <c r="N19">
        <v>1</v>
      </c>
      <c r="O19" s="40" t="str">
        <f>_xlfn.XLOOKUP(M19, 'EN articles'!G:G, 'EN articles'!H:H, "Not found")</f>
        <v>Industry 4.0 Chair, Universitat Jaume I, Castellón, Spain</v>
      </c>
      <c r="Q19" s="4" t="s">
        <v>1153</v>
      </c>
      <c r="R19">
        <v>1</v>
      </c>
    </row>
    <row r="20" spans="10:18" ht="17.7" customHeight="1" x14ac:dyDescent="0.3">
      <c r="J20" s="4" t="s">
        <v>318</v>
      </c>
      <c r="K20">
        <v>1</v>
      </c>
      <c r="M20" s="4" t="s">
        <v>133</v>
      </c>
      <c r="N20">
        <v>1</v>
      </c>
      <c r="O20" s="40" t="str">
        <f>_xlfn.XLOOKUP(M20, 'EN articles'!G:G, 'EN articles'!H:H, "Not found")</f>
        <v>The Southern University of Science and Technology, Guangdong, Shenzhen, 518055, China</v>
      </c>
      <c r="Q20" s="4" t="s">
        <v>196</v>
      </c>
      <c r="R20">
        <v>1</v>
      </c>
    </row>
    <row r="21" spans="10:18" ht="17.7" customHeight="1" x14ac:dyDescent="0.3">
      <c r="J21" s="4" t="s">
        <v>321</v>
      </c>
      <c r="K21">
        <v>1</v>
      </c>
      <c r="L21" s="14"/>
      <c r="M21" s="4" t="s">
        <v>1390</v>
      </c>
      <c r="N21">
        <v>1</v>
      </c>
      <c r="O21" s="40" t="str">
        <f>_xlfn.XLOOKUP(M21, 'EN articles'!G:G, 'EN articles'!H:H, "Not found")</f>
        <v>School of Information Science and Technology, University of Science and Technology of China, Hefei, Anhui, China</v>
      </c>
      <c r="Q21" s="4" t="s">
        <v>1330</v>
      </c>
      <c r="R21">
        <v>1</v>
      </c>
    </row>
    <row r="22" spans="10:18" ht="17.7" customHeight="1" x14ac:dyDescent="0.3">
      <c r="J22" s="4" t="s">
        <v>1135</v>
      </c>
      <c r="K22">
        <v>1</v>
      </c>
      <c r="L22" s="14"/>
      <c r="M22" s="4" t="s">
        <v>156</v>
      </c>
      <c r="N22">
        <v>1</v>
      </c>
      <c r="O22" s="40" t="str">
        <f>_xlfn.XLOOKUP(M22, 'EN articles'!G:G, 'EN articles'!H:H, "Not found")</f>
        <v>INC Innovation Center GmbH, Munich, 81539, Germany</v>
      </c>
      <c r="Q22" s="4" t="s">
        <v>350</v>
      </c>
      <c r="R22">
        <v>1</v>
      </c>
    </row>
    <row r="23" spans="10:18" ht="17.7" customHeight="1" x14ac:dyDescent="0.3">
      <c r="J23" s="4" t="s">
        <v>1141</v>
      </c>
      <c r="K23">
        <v>1</v>
      </c>
      <c r="M23" s="4" t="s">
        <v>1418</v>
      </c>
      <c r="N23">
        <v>1</v>
      </c>
      <c r="O23" s="40" t="str">
        <f>_xlfn.XLOOKUP(M23, 'EN articles'!G:G, 'EN articles'!H:H, "Not found")</f>
        <v>State Key Laboratory for Manufacturing Systems Engineering, Xi'an, Shaanxi, China</v>
      </c>
      <c r="Q23" s="4" t="s">
        <v>178</v>
      </c>
      <c r="R23">
        <v>1</v>
      </c>
    </row>
    <row r="24" spans="10:18" ht="17.7" customHeight="1" x14ac:dyDescent="0.3">
      <c r="J24" s="4" t="s">
        <v>73</v>
      </c>
      <c r="K24">
        <v>1</v>
      </c>
      <c r="M24" s="4" t="s">
        <v>173</v>
      </c>
      <c r="N24">
        <v>1</v>
      </c>
      <c r="O24" s="40" t="str">
        <f>_xlfn.XLOOKUP(M24, 'EN articles'!G:G, 'EN articles'!H:H, "Not found")</f>
        <v>Department of Electrical and Smart Systems Engineering, University of South Africa (UNISA), Florida, Gauteng, Johannesburg, 1709, South Africa</v>
      </c>
      <c r="Q24" s="4" t="s">
        <v>190</v>
      </c>
      <c r="R24">
        <v>1</v>
      </c>
    </row>
    <row r="25" spans="10:18" ht="17.7" customHeight="1" x14ac:dyDescent="0.3">
      <c r="J25" s="4" t="s">
        <v>1139</v>
      </c>
      <c r="K25">
        <v>1</v>
      </c>
      <c r="M25" s="4" t="s">
        <v>1430</v>
      </c>
      <c r="N25">
        <v>1</v>
      </c>
      <c r="O25" s="40" t="str">
        <f>_xlfn.XLOOKUP(M25, 'EN articles'!G:G, 'EN articles'!H:H, "Not found")</f>
        <v>Global College, Shanghai Jiao Tong University, Shanghai, China</v>
      </c>
      <c r="Q25" s="4" t="s">
        <v>1169</v>
      </c>
      <c r="R25">
        <v>1</v>
      </c>
    </row>
    <row r="26" spans="10:18" ht="17.7" customHeight="1" x14ac:dyDescent="0.3">
      <c r="J26" s="4" t="s">
        <v>320</v>
      </c>
      <c r="K26">
        <v>1</v>
      </c>
      <c r="M26" s="4" t="s">
        <v>166</v>
      </c>
      <c r="N26">
        <v>1</v>
      </c>
      <c r="O26" s="40" t="str">
        <f>_xlfn.XLOOKUP(M26, 'EN articles'!G:G, 'EN articles'!H:H, "Not found")</f>
        <v>Faculty of Engineering, Technology and Built Environment, UCSI University, Kuala Lumpur, 56000, Malaysia</v>
      </c>
      <c r="Q26" s="4" t="s">
        <v>184</v>
      </c>
      <c r="R26">
        <v>1</v>
      </c>
    </row>
    <row r="27" spans="10:18" ht="17.7" customHeight="1" x14ac:dyDescent="0.3">
      <c r="J27" s="4" t="s">
        <v>1459</v>
      </c>
      <c r="K27">
        <v>1</v>
      </c>
      <c r="M27" s="4" t="s">
        <v>1451</v>
      </c>
      <c r="N27">
        <v>1</v>
      </c>
      <c r="O27" s="40" t="str">
        <f>_xlfn.XLOOKUP(M27, 'EN articles'!G:G, 'EN articles'!H:H, "Not found")</f>
        <v>Beihang University, Beijing, China</v>
      </c>
      <c r="Q27" s="4" t="s">
        <v>182</v>
      </c>
      <c r="R27">
        <v>1</v>
      </c>
    </row>
    <row r="28" spans="10:18" ht="43.2" x14ac:dyDescent="0.3">
      <c r="J28" s="4" t="s">
        <v>70</v>
      </c>
      <c r="K28">
        <v>1</v>
      </c>
      <c r="M28" s="5" t="s">
        <v>129</v>
      </c>
      <c r="N28">
        <v>1</v>
      </c>
      <c r="O28" s="40" t="str">
        <f>_xlfn.XLOOKUP(M28, 'EN articles'!G:G, 'EN articles'!H:H, "Not found")</f>
        <v>Department of computer, control, and management engineering Antonio Ruberti, Sapienza University of Rome, Via Ariosto 25, Rome, 00185, Italy</v>
      </c>
      <c r="Q28" s="4" t="s">
        <v>340</v>
      </c>
      <c r="R28">
        <v>1</v>
      </c>
    </row>
    <row r="29" spans="10:18" ht="17.7" customHeight="1" x14ac:dyDescent="0.3">
      <c r="J29" s="4" t="s">
        <v>752</v>
      </c>
      <c r="K29">
        <v>1</v>
      </c>
      <c r="M29" s="4" t="s">
        <v>1405</v>
      </c>
      <c r="N29">
        <v>1</v>
      </c>
      <c r="O29" s="40" t="str">
        <f>_xlfn.XLOOKUP(M29, 'EN articles'!G:G, 'EN articles'!H:H, "Not found")</f>
        <v>Rijksuniversiteit Groningen, Groningen, Groningen, Netherlands</v>
      </c>
      <c r="Q29" s="4" t="s">
        <v>1256</v>
      </c>
      <c r="R29">
        <v>1</v>
      </c>
    </row>
    <row r="30" spans="10:18" ht="17.7" customHeight="1" x14ac:dyDescent="0.3">
      <c r="J30" s="4" t="s">
        <v>68</v>
      </c>
      <c r="K30">
        <v>1</v>
      </c>
      <c r="L30" s="14"/>
      <c r="M30" s="4" t="s">
        <v>139</v>
      </c>
      <c r="N30">
        <v>1</v>
      </c>
      <c r="O30" s="40" t="str">
        <f>_xlfn.XLOOKUP(M30, 'EN articles'!G:G, 'EN articles'!H:H, "Not found")</f>
        <v>Guangdong Provincial Key Laboratory of Cyber-Physical System, Guangdong University of Technology, Guangzhou, China</v>
      </c>
      <c r="Q30" s="4" t="s">
        <v>195</v>
      </c>
      <c r="R30">
        <v>1</v>
      </c>
    </row>
    <row r="31" spans="10:18" ht="17.7" customHeight="1" x14ac:dyDescent="0.3">
      <c r="J31" s="4" t="s">
        <v>206</v>
      </c>
      <c r="K31">
        <v>133</v>
      </c>
      <c r="L31" s="14"/>
      <c r="M31" s="4" t="s">
        <v>1428</v>
      </c>
      <c r="N31">
        <v>1</v>
      </c>
      <c r="O31" s="40" t="str">
        <f>_xlfn.XLOOKUP(M31, 'EN articles'!G:G, 'EN articles'!H:H, "Not found")</f>
        <v>College of Engineering, Notre Dame, IN, United States</v>
      </c>
      <c r="Q31" s="4" t="s">
        <v>1326</v>
      </c>
      <c r="R31">
        <v>1</v>
      </c>
    </row>
    <row r="32" spans="10:18" ht="17.7" customHeight="1" x14ac:dyDescent="0.3">
      <c r="M32" s="4" t="s">
        <v>155</v>
      </c>
      <c r="N32">
        <v>1</v>
      </c>
      <c r="O32" s="40" t="str">
        <f>_xlfn.XLOOKUP(M32, 'EN articles'!G:G, 'EN articles'!H:H, "Not found")</f>
        <v>Shenyang Institute of Computing Technology, Chinese Academy of Sciences, Shenyang, 110168, China</v>
      </c>
      <c r="Q32" s="4" t="s">
        <v>183</v>
      </c>
      <c r="R32">
        <v>1</v>
      </c>
    </row>
    <row r="33" spans="12:18" ht="17.7" customHeight="1" x14ac:dyDescent="0.3">
      <c r="L33" s="14"/>
      <c r="M33" s="4" t="s">
        <v>1440</v>
      </c>
      <c r="N33">
        <v>1</v>
      </c>
      <c r="O33" s="40" t="str">
        <f>_xlfn.XLOOKUP(M33, 'EN articles'!G:G, 'EN articles'!H:H, "Not found")</f>
        <v>Institute for Manufacturing, Department of Engineering, Cambridge, Cambridgeshire, United Kingdom</v>
      </c>
      <c r="Q33" s="4" t="s">
        <v>1359</v>
      </c>
      <c r="R33">
        <v>1</v>
      </c>
    </row>
    <row r="34" spans="12:18" ht="17.7" customHeight="1" x14ac:dyDescent="0.3">
      <c r="L34" s="14"/>
      <c r="M34" s="4" t="s">
        <v>174</v>
      </c>
      <c r="N34">
        <v>1</v>
      </c>
      <c r="O34" s="40" t="str">
        <f>_xlfn.XLOOKUP(M34, 'EN articles'!G:G, 'EN articles'!H:H, "Not found")</f>
        <v>Faculty of Engineering and Natural Sciences, Tampere University, Korkeakoulunkatu 6, Pirkanmaa, Tampere, 33014, Finland</v>
      </c>
      <c r="Q34" s="4" t="s">
        <v>197</v>
      </c>
      <c r="R34">
        <v>1</v>
      </c>
    </row>
    <row r="35" spans="12:18" ht="17.7" customHeight="1" x14ac:dyDescent="0.3">
      <c r="M35" s="4" t="s">
        <v>335</v>
      </c>
      <c r="N35">
        <v>1</v>
      </c>
      <c r="O35" s="40" t="str">
        <f>_xlfn.XLOOKUP(M35, 'EN articles'!G:G, 'EN articles'!H:H, "Not found")</f>
        <v>Department of Mechanical and Aerospace Engineering, College of Engineering and Computer Science, University of Central Florida, Orlando, 32816, FL, United States</v>
      </c>
      <c r="Q35" s="4" t="s">
        <v>1157</v>
      </c>
      <c r="R35">
        <v>1</v>
      </c>
    </row>
    <row r="36" spans="12:18" ht="17.7" customHeight="1" x14ac:dyDescent="0.3">
      <c r="M36" s="4" t="s">
        <v>149</v>
      </c>
      <c r="N36">
        <v>1</v>
      </c>
      <c r="O36" s="40" t="str">
        <f>_xlfn.XLOOKUP(M36, 'EN articles'!G:G, 'EN articles'!H:H, "Not found")</f>
        <v>Department of Mechanical Engineering, National University of Singapore, 9 Engineering Drive 1, Singapore</v>
      </c>
      <c r="Q36" s="4" t="s">
        <v>191</v>
      </c>
      <c r="R36">
        <v>1</v>
      </c>
    </row>
    <row r="37" spans="12:18" ht="17.7" customHeight="1" x14ac:dyDescent="0.3">
      <c r="M37" s="4" t="s">
        <v>1422</v>
      </c>
      <c r="N37">
        <v>1</v>
      </c>
      <c r="O37" s="40" t="str">
        <f>_xlfn.XLOOKUP(M37, 'EN articles'!G:G, 'EN articles'!H:H, "Not found")</f>
        <v>State Key Laboratory of Fluid Power and Mechatronic Systems, Hangzhou, Zhejiang, China</v>
      </c>
      <c r="Q37" s="4" t="s">
        <v>200</v>
      </c>
      <c r="R37">
        <v>1</v>
      </c>
    </row>
    <row r="38" spans="12:18" ht="17.7" customHeight="1" x14ac:dyDescent="0.3">
      <c r="M38" s="4" t="s">
        <v>147</v>
      </c>
      <c r="N38">
        <v>1</v>
      </c>
      <c r="O38" s="40" t="str">
        <f>_xlfn.XLOOKUP(M38, 'EN articles'!G:G, 'EN articles'!H:H, "Not found")</f>
        <v>School of Software Engineering, Xi'an Jiaotong University, Xi'an, China</v>
      </c>
      <c r="Q38" s="4" t="s">
        <v>337</v>
      </c>
      <c r="R38">
        <v>1</v>
      </c>
    </row>
    <row r="39" spans="12:18" ht="17.7" customHeight="1" x14ac:dyDescent="0.3">
      <c r="M39" s="4" t="s">
        <v>1427</v>
      </c>
      <c r="N39">
        <v>1</v>
      </c>
      <c r="O39" s="40" t="str">
        <f>_xlfn.XLOOKUP(M39, 'EN articles'!G:G, 'EN articles'!H:H, "Not found")</f>
        <v>Department of Mathematics and Industrial Engineering, Polytechnique Montréal, Montreal, QC, Canada</v>
      </c>
      <c r="Q39" s="4" t="s">
        <v>1168</v>
      </c>
      <c r="R39">
        <v>1</v>
      </c>
    </row>
    <row r="40" spans="12:18" ht="43.2" x14ac:dyDescent="0.3">
      <c r="M40" s="4" t="s">
        <v>172</v>
      </c>
      <c r="N40">
        <v>1</v>
      </c>
      <c r="O40" s="40" t="str">
        <f>_xlfn.XLOOKUP(M40, 'EN articles'!G:G, 'EN articles'!H:H, "Not found")</f>
        <v>Laboratory for Manufacturing Systems and Automation, Department of Mechanical Engineering and Aeronautics, University of Patras, Patras, Greece</v>
      </c>
      <c r="Q40" s="5" t="s">
        <v>180</v>
      </c>
      <c r="R40">
        <v>1</v>
      </c>
    </row>
    <row r="41" spans="12:18" ht="17.7" customHeight="1" x14ac:dyDescent="0.3">
      <c r="M41" s="4" t="s">
        <v>151</v>
      </c>
      <c r="N41">
        <v>1</v>
      </c>
      <c r="O41" s="40" t="str">
        <f>_xlfn.XLOOKUP(M41, 'EN articles'!G:G, 'EN articles'!H:H, "Not found")</f>
        <v>Center for Global Design and Manufacturing, Siemens Simulation Technology Center, Department of Mechanical &amp; Materials Engineering, University of Cincinnati, Cincinnati, 45221, OH, United States</v>
      </c>
      <c r="Q41" s="4" t="s">
        <v>1170</v>
      </c>
      <c r="R41">
        <v>1</v>
      </c>
    </row>
    <row r="42" spans="12:18" ht="17.7" customHeight="1" x14ac:dyDescent="0.3">
      <c r="M42" s="4" t="s">
        <v>154</v>
      </c>
      <c r="N42">
        <v>1</v>
      </c>
      <c r="O42" s="40" t="str">
        <f>_xlfn.XLOOKUP(M42, 'EN articles'!G:G, 'EN articles'!H:H, "Not found")</f>
        <v>State Key Laboratory of Mechanical Transmission for Advanced Equipment, Chongqing University, Chongqing, 400044, China</v>
      </c>
      <c r="Q42" s="4" t="s">
        <v>188</v>
      </c>
      <c r="R42">
        <v>1</v>
      </c>
    </row>
    <row r="43" spans="12:18" ht="17.7" customHeight="1" x14ac:dyDescent="0.3">
      <c r="M43" s="4" t="s">
        <v>1449</v>
      </c>
      <c r="N43">
        <v>1</v>
      </c>
      <c r="O43" s="40" t="str">
        <f>_xlfn.XLOOKUP(M43, 'EN articles'!G:G, 'EN articles'!H:H, "Not found")</f>
        <v>College of Mechanical Engineering, Donghua University, Shanghai, Shanghai, China</v>
      </c>
      <c r="Q43" s="4" t="s">
        <v>1173</v>
      </c>
      <c r="R43">
        <v>1</v>
      </c>
    </row>
    <row r="44" spans="12:18" ht="17.7" customHeight="1" x14ac:dyDescent="0.3">
      <c r="M44" s="4" t="s">
        <v>136</v>
      </c>
      <c r="N44">
        <v>1</v>
      </c>
      <c r="O44" s="40" t="str">
        <f>_xlfn.XLOOKUP(M44, 'EN articles'!G:G, 'EN articles'!H:H, "Not found")</f>
        <v>Department of Computer Science, Yonsei University, 50 Yonsei-ro, Sedaemun-gu, Seoul, 03722, South Korea</v>
      </c>
      <c r="Q44" s="4" t="s">
        <v>185</v>
      </c>
      <c r="R44">
        <v>1</v>
      </c>
    </row>
    <row r="45" spans="12:18" ht="17.7" customHeight="1" x14ac:dyDescent="0.3">
      <c r="M45" s="4" t="s">
        <v>1408</v>
      </c>
      <c r="N45">
        <v>1</v>
      </c>
      <c r="O45" s="40" t="str">
        <f>_xlfn.XLOOKUP(M45, 'EN articles'!G:G, 'EN articles'!H:H, "Not found")</f>
        <v>Automotive and Materials Engineering, University of Windsor, Windsor, ON, Canada</v>
      </c>
      <c r="Q45" s="4" t="s">
        <v>1151</v>
      </c>
      <c r="R45">
        <v>1</v>
      </c>
    </row>
    <row r="46" spans="12:18" ht="17.7" customHeight="1" x14ac:dyDescent="0.3">
      <c r="M46" s="4" t="s">
        <v>175</v>
      </c>
      <c r="N46">
        <v>1</v>
      </c>
      <c r="O46" s="40" t="str">
        <f>_xlfn.XLOOKUP(M46, 'EN articles'!G:G, 'EN articles'!H:H, "Not found")</f>
        <v>College of Mechanical Engineering, Donghua University, Shanghai, 201620, China</v>
      </c>
      <c r="Q46" s="4" t="s">
        <v>201</v>
      </c>
      <c r="R46">
        <v>1</v>
      </c>
    </row>
    <row r="47" spans="12:18" ht="17.7" customHeight="1" x14ac:dyDescent="0.3">
      <c r="M47" s="4" t="s">
        <v>1134</v>
      </c>
      <c r="N47">
        <v>1</v>
      </c>
      <c r="O47" s="40" t="str">
        <f>_xlfn.XLOOKUP(M47, 'EN articles'!G:G, 'EN articles'!H:H, "Not found")</f>
        <v>Department of Computer Technologies, Niğde Ömer Halisdemir University, Nigde, Nigde, Turkey</v>
      </c>
      <c r="Q47" s="4" t="s">
        <v>1254</v>
      </c>
      <c r="R47">
        <v>1</v>
      </c>
    </row>
    <row r="48" spans="12:18" ht="17.7" customHeight="1" x14ac:dyDescent="0.3">
      <c r="M48" s="4" t="s">
        <v>168</v>
      </c>
      <c r="N48">
        <v>1</v>
      </c>
      <c r="O48" s="40" t="str">
        <f>_xlfn.XLOOKUP(M48, 'EN articles'!G:G, 'EN articles'!H:H, "Not found")</f>
        <v>South China University of Technology, School of Mechanical and Automotive Engineering, Guangzhou, 510641, China</v>
      </c>
      <c r="Q48" s="4" t="s">
        <v>199</v>
      </c>
      <c r="R48">
        <v>1</v>
      </c>
    </row>
    <row r="49" spans="13:18" ht="17.7" customHeight="1" x14ac:dyDescent="0.3">
      <c r="M49" s="4" t="s">
        <v>1419</v>
      </c>
      <c r="N49">
        <v>1</v>
      </c>
      <c r="O49" s="40" t="str">
        <f>_xlfn.XLOOKUP(M49, 'EN articles'!G:G, 'EN articles'!H:H, "Not found")</f>
        <v>Shanghai Jiao Tong University, Shanghai, China</v>
      </c>
      <c r="Q49" s="4" t="s">
        <v>1258</v>
      </c>
      <c r="R49">
        <v>1</v>
      </c>
    </row>
    <row r="50" spans="13:18" ht="17.7" customHeight="1" x14ac:dyDescent="0.3">
      <c r="M50" s="4" t="s">
        <v>159</v>
      </c>
      <c r="N50">
        <v>1</v>
      </c>
      <c r="O50" s="40" t="str">
        <f>_xlfn.XLOOKUP(M50, 'EN articles'!G:G, 'EN articles'!H:H, "Not found")</f>
        <v>Department of Mechanical Engineering, School of Engineering, Cardiff University, Cardiff, CF24 3AA, United Kingdom</v>
      </c>
      <c r="Q50" s="4" t="s">
        <v>189</v>
      </c>
      <c r="R50">
        <v>1</v>
      </c>
    </row>
    <row r="51" spans="13:18" ht="17.7" customHeight="1" x14ac:dyDescent="0.3">
      <c r="M51" s="4" t="s">
        <v>1423</v>
      </c>
      <c r="N51">
        <v>1</v>
      </c>
      <c r="O51" s="40" t="str">
        <f>_xlfn.XLOOKUP(M51, 'EN articles'!G:G, 'EN articles'!H:H, "Not found")</f>
        <v>Beihang University, Beijing, China</v>
      </c>
      <c r="Q51" s="4" t="s">
        <v>1295</v>
      </c>
      <c r="R51">
        <v>1</v>
      </c>
    </row>
    <row r="52" spans="13:18" ht="17.7" customHeight="1" x14ac:dyDescent="0.3">
      <c r="M52" s="4" t="s">
        <v>142</v>
      </c>
      <c r="N52">
        <v>1</v>
      </c>
      <c r="O52" s="40" t="str">
        <f>_xlfn.XLOOKUP(M52, 'EN articles'!G:G, 'EN articles'!H:H, "Not found")</f>
        <v>Dyson School of Design Engineering, Imperial College London, Exhibition Rd, South Kensington, SW7 2AZ, United Kingdom</v>
      </c>
      <c r="Q52" s="4" t="s">
        <v>216</v>
      </c>
      <c r="R52">
        <v>1</v>
      </c>
    </row>
    <row r="53" spans="13:18" ht="17.7" customHeight="1" x14ac:dyDescent="0.3">
      <c r="M53" s="4" t="s">
        <v>1434</v>
      </c>
      <c r="N53">
        <v>1</v>
      </c>
      <c r="O53" s="40" t="str">
        <f>_xlfn.XLOOKUP(M53, 'EN articles'!G:G, 'EN articles'!H:H, "Not found")</f>
        <v>Department of Electrical Engineering, National Chung Hsing University, Taichung, Taiwan</v>
      </c>
      <c r="Q53" s="4" t="s">
        <v>1328</v>
      </c>
      <c r="R53">
        <v>1</v>
      </c>
    </row>
    <row r="54" spans="13:18" ht="43.2" x14ac:dyDescent="0.3">
      <c r="M54" s="4" t="s">
        <v>135</v>
      </c>
      <c r="N54">
        <v>1</v>
      </c>
      <c r="O54" s="40" t="str">
        <f>_xlfn.XLOOKUP(M54, 'EN articles'!G:G, 'EN articles'!H:H, "Not found")</f>
        <v>Department of Electrical and Computer Engineering, Department of Mechanical and Aerospace Engineering, University of Kentucky, Lexington, KY, United States</v>
      </c>
      <c r="Q54" s="5" t="s">
        <v>176</v>
      </c>
      <c r="R54">
        <v>1</v>
      </c>
    </row>
    <row r="55" spans="13:18" ht="17.7" customHeight="1" x14ac:dyDescent="0.3">
      <c r="M55" s="4" t="s">
        <v>1432</v>
      </c>
      <c r="N55">
        <v>1</v>
      </c>
      <c r="O55" s="40" t="str">
        <f>_xlfn.XLOOKUP(M55, 'EN articles'!G:G, 'EN articles'!H:H, "Not found")</f>
        <v>Department of Mechanics, Università della Calabria, Rende, CS, Italy</v>
      </c>
      <c r="Q55" s="4" t="s">
        <v>1332</v>
      </c>
      <c r="R55">
        <v>1</v>
      </c>
    </row>
    <row r="56" spans="13:18" ht="28.8" x14ac:dyDescent="0.3">
      <c r="M56" s="5" t="s">
        <v>146</v>
      </c>
      <c r="N56">
        <v>1</v>
      </c>
      <c r="O56" s="40" t="str">
        <f>_xlfn.XLOOKUP(M56, 'EN articles'!G:G, 'EN articles'!H:H, "Not found")</f>
        <v>Department of Industrial and Systems Engineering, The Hong Kong Polytechnic University, Hong Kong</v>
      </c>
      <c r="Q56" s="4" t="s">
        <v>202</v>
      </c>
      <c r="R56">
        <v>1</v>
      </c>
    </row>
    <row r="57" spans="13:18" ht="17.7" customHeight="1" x14ac:dyDescent="0.3">
      <c r="M57" s="4" t="s">
        <v>1441</v>
      </c>
      <c r="N57">
        <v>1</v>
      </c>
      <c r="O57" s="40" t="str">
        <f>_xlfn.XLOOKUP(M57, 'EN articles'!G:G, 'EN articles'!H:H, "Not found")</f>
        <v>Department of Electrical and Electronic Engineering, University of Bristol, Bristol, United Kingdom</v>
      </c>
      <c r="Q57" s="4" t="s">
        <v>179</v>
      </c>
      <c r="R57">
        <v>1</v>
      </c>
    </row>
    <row r="58" spans="13:18" ht="17.7" customHeight="1" x14ac:dyDescent="0.3">
      <c r="M58" s="4" t="s">
        <v>150</v>
      </c>
      <c r="N58">
        <v>1</v>
      </c>
      <c r="O58" s="40" t="str">
        <f>_xlfn.XLOOKUP(M58, 'EN articles'!G:G, 'EN articles'!H:H, "Not found")</f>
        <v>School of System Design and Intelligent Manufacturing, Southern University of Science and Technology, Shenzhen, 518055, China</v>
      </c>
      <c r="Q58" s="4" t="s">
        <v>212</v>
      </c>
      <c r="R58">
        <v>1</v>
      </c>
    </row>
    <row r="59" spans="13:18" ht="17.7" customHeight="1" x14ac:dyDescent="0.3">
      <c r="M59" s="4" t="s">
        <v>1465</v>
      </c>
      <c r="N59">
        <v>1</v>
      </c>
      <c r="O59" s="40" t="str">
        <f>_xlfn.XLOOKUP(M59, 'EN articles'!G:G, 'EN articles'!H:H, "Not found")</f>
        <v>College of Systems Engineering, National University of Defense Technology China, Changsha, Hunan, China</v>
      </c>
      <c r="Q59" s="4" t="s">
        <v>1143</v>
      </c>
      <c r="R59">
        <v>1</v>
      </c>
    </row>
    <row r="60" spans="13:18" ht="17.7" customHeight="1" x14ac:dyDescent="0.3">
      <c r="M60" s="4" t="s">
        <v>153</v>
      </c>
      <c r="N60">
        <v>1</v>
      </c>
      <c r="O60" s="40" t="str">
        <f>_xlfn.XLOOKUP(M60, 'EN articles'!G:G, 'EN articles'!H:H, "Not found")</f>
        <v>School of Mechanical Science and Engineering, Huazhong University of Science and Technology, Wuhan, 430074, China</v>
      </c>
      <c r="Q60" s="4" t="s">
        <v>1160</v>
      </c>
      <c r="R60">
        <v>1</v>
      </c>
    </row>
    <row r="61" spans="13:18" ht="17.7" customHeight="1" x14ac:dyDescent="0.3">
      <c r="M61" s="4" t="s">
        <v>1417</v>
      </c>
      <c r="N61">
        <v>1</v>
      </c>
      <c r="O61" s="40" t="str">
        <f>_xlfn.XLOOKUP(M61, 'EN articles'!G:G, 'EN articles'!H:H, "Not found")</f>
        <v>School of Electrical and Electronic Engineering, Singapore City, Singapore</v>
      </c>
      <c r="Q61" s="4" t="s">
        <v>1158</v>
      </c>
      <c r="R61">
        <v>1</v>
      </c>
    </row>
    <row r="62" spans="13:18" ht="17.7" customHeight="1" x14ac:dyDescent="0.3">
      <c r="M62" s="4" t="s">
        <v>157</v>
      </c>
      <c r="N62">
        <v>1</v>
      </c>
      <c r="O62" s="40" t="str">
        <f>_xlfn.XLOOKUP(M62, 'EN articles'!G:G, 'EN articles'!H:H, "Not found")</f>
        <v>College of Mechanical Engineering, Donghua University, Shanghai, 201620, China</v>
      </c>
      <c r="Q62" s="4" t="s">
        <v>1145</v>
      </c>
      <c r="R62">
        <v>1</v>
      </c>
    </row>
    <row r="63" spans="13:18" ht="17.7" customHeight="1" x14ac:dyDescent="0.3">
      <c r="M63" s="4" t="s">
        <v>1420</v>
      </c>
      <c r="N63">
        <v>1</v>
      </c>
      <c r="O63" s="40" t="str">
        <f>_xlfn.XLOOKUP(M63, 'EN articles'!G:G, 'EN articles'!H:H, "Not found")</f>
        <v>College of Mechanical and Electrical Engineering, Hohai University Changzhou, Changzhou, Jiangsu, China</v>
      </c>
      <c r="Q63" s="4" t="s">
        <v>1159</v>
      </c>
      <c r="R63">
        <v>1</v>
      </c>
    </row>
    <row r="64" spans="13:18" ht="17.7" customHeight="1" x14ac:dyDescent="0.3">
      <c r="M64" s="4" t="s">
        <v>132</v>
      </c>
      <c r="N64">
        <v>1</v>
      </c>
      <c r="O64" s="40" t="str">
        <f>_xlfn.XLOOKUP(M64, 'EN articles'!G:G, 'EN articles'!H:H, "Not found")</f>
        <v>Department of Mechanical Engineering, National University of Singapore, 9 Engineering Drive 1, Singapore</v>
      </c>
      <c r="Q64" s="4" t="s">
        <v>1163</v>
      </c>
      <c r="R64">
        <v>1</v>
      </c>
    </row>
    <row r="65" spans="13:18" ht="17.7" customHeight="1" x14ac:dyDescent="0.3">
      <c r="M65" s="4" t="s">
        <v>1387</v>
      </c>
      <c r="N65">
        <v>1</v>
      </c>
      <c r="O65" s="40" t="str">
        <f>_xlfn.XLOOKUP(M65, 'EN articles'!G:G, 'EN articles'!H:H, "Not found")</f>
        <v>Wuhan University of Technology, Wuhan, Hubei, China</v>
      </c>
      <c r="Q65" s="4" t="s">
        <v>203</v>
      </c>
      <c r="R65">
        <v>1</v>
      </c>
    </row>
    <row r="66" spans="13:18" ht="17.7" customHeight="1" x14ac:dyDescent="0.3">
      <c r="M66" s="4" t="s">
        <v>128</v>
      </c>
      <c r="N66">
        <v>1</v>
      </c>
      <c r="O66" s="40" t="str">
        <f>_xlfn.XLOOKUP(M66, 'EN articles'!G:G, 'EN articles'!H:H, "Not found")</f>
        <v>Department of Industrial and Systems Engineering, The Hong Kong Polytechnic University, Hong Kong</v>
      </c>
      <c r="Q66" s="4" t="s">
        <v>1146</v>
      </c>
      <c r="R66">
        <v>1</v>
      </c>
    </row>
    <row r="67" spans="13:18" ht="17.7" customHeight="1" x14ac:dyDescent="0.3">
      <c r="M67" s="4" t="s">
        <v>1426</v>
      </c>
      <c r="N67">
        <v>1</v>
      </c>
      <c r="O67" s="40" t="str">
        <f>_xlfn.XLOOKUP(M67, 'EN articles'!G:G, 'EN articles'!H:H, "Not found")</f>
        <v>College of Mechanical Engineering, Donghua University, Shanghai, Shanghai, China</v>
      </c>
      <c r="Q67" s="4" t="s">
        <v>214</v>
      </c>
      <c r="R67">
        <v>1</v>
      </c>
    </row>
    <row r="68" spans="13:18" ht="17.7" customHeight="1" x14ac:dyDescent="0.3">
      <c r="M68" s="4" t="s">
        <v>140</v>
      </c>
      <c r="N68">
        <v>1</v>
      </c>
      <c r="O68" s="40" t="str">
        <f>_xlfn.XLOOKUP(M68, 'EN articles'!G:G, 'EN articles'!H:H, "Not found")</f>
        <v>Department of Industrial and Systems Engineering, The Hong Kong Polytechnic University, Hong Kong</v>
      </c>
      <c r="Q68" s="4" t="s">
        <v>1164</v>
      </c>
      <c r="R68">
        <v>1</v>
      </c>
    </row>
    <row r="69" spans="13:18" ht="17.7" customHeight="1" x14ac:dyDescent="0.3">
      <c r="M69" s="4" t="s">
        <v>1429</v>
      </c>
      <c r="N69">
        <v>1</v>
      </c>
      <c r="O69" s="40" t="str">
        <f>_xlfn.XLOOKUP(M69, 'EN articles'!G:G, 'EN articles'!H:H, "Not found")</f>
        <v>School of Mechanical Engineering, Beijing Institute of Technology, Beijing, China</v>
      </c>
      <c r="Q69" s="4" t="s">
        <v>215</v>
      </c>
      <c r="R69">
        <v>1</v>
      </c>
    </row>
    <row r="70" spans="13:18" ht="17.7" customHeight="1" x14ac:dyDescent="0.3">
      <c r="M70" s="4" t="s">
        <v>152</v>
      </c>
      <c r="N70">
        <v>1</v>
      </c>
      <c r="O70" s="40" t="str">
        <f>_xlfn.XLOOKUP(M70, 'EN articles'!G:G, 'EN articles'!H:H, "Not found")</f>
        <v>Micro-Electronics Research Institute, Hangzhou Dianzi University, Hangzhou, 310005, China</v>
      </c>
      <c r="Q70" s="4" t="s">
        <v>1165</v>
      </c>
      <c r="R70">
        <v>1</v>
      </c>
    </row>
    <row r="71" spans="13:18" ht="17.7" customHeight="1" x14ac:dyDescent="0.3">
      <c r="M71" s="4" t="s">
        <v>1431</v>
      </c>
      <c r="N71">
        <v>1</v>
      </c>
      <c r="O71" s="40" t="str">
        <f>_xlfn.XLOOKUP(M71, 'EN articles'!G:G, 'EN articles'!H:H, "Not found")</f>
        <v>Automation Technology and Mechanical Engineering, Tampere University, Tampere, Pirkanmaa, Finland</v>
      </c>
      <c r="Q71" s="4" t="s">
        <v>131</v>
      </c>
      <c r="R71">
        <v>1</v>
      </c>
    </row>
    <row r="72" spans="13:18" ht="17.7" customHeight="1" x14ac:dyDescent="0.3">
      <c r="M72" s="4" t="s">
        <v>1388</v>
      </c>
      <c r="N72">
        <v>1</v>
      </c>
      <c r="O72" s="40" t="str">
        <f>_xlfn.XLOOKUP(M72, 'EN articles'!G:G, 'EN articles'!H:H, "Not found")</f>
        <v>Guangxi Key Laboratory of Manufacturing System &amp; Advanced Manufacturing Technology, Guilin University of Electronic Technology, Guilin, Guangxi, China</v>
      </c>
      <c r="Q72" s="4" t="s">
        <v>1167</v>
      </c>
      <c r="R72">
        <v>1</v>
      </c>
    </row>
    <row r="73" spans="13:18" ht="17.7" customHeight="1" x14ac:dyDescent="0.3">
      <c r="M73" s="4" t="s">
        <v>1443</v>
      </c>
      <c r="N73">
        <v>1</v>
      </c>
      <c r="O73" s="40" t="str">
        <f>_xlfn.XLOOKUP(M73, 'EN articles'!G:G, 'EN articles'!H:H, "Not found")</f>
        <v>Guizhou University, Guiyang, Guizhou, China</v>
      </c>
      <c r="Q73" s="4" t="s">
        <v>347</v>
      </c>
      <c r="R73">
        <v>1</v>
      </c>
    </row>
    <row r="74" spans="13:18" ht="17.7" customHeight="1" x14ac:dyDescent="0.3">
      <c r="M74" s="4" t="s">
        <v>1401</v>
      </c>
      <c r="N74">
        <v>1</v>
      </c>
      <c r="O74" s="40" t="str">
        <f>_xlfn.XLOOKUP(M74, 'EN articles'!G:G, 'EN articles'!H:H, "Not found")</f>
        <v>Università di Trento, Trento, TN, Italy</v>
      </c>
      <c r="Q74" s="4" t="s">
        <v>1148</v>
      </c>
      <c r="R74">
        <v>1</v>
      </c>
    </row>
    <row r="75" spans="13:18" ht="17.7" customHeight="1" x14ac:dyDescent="0.3">
      <c r="M75" s="4" t="s">
        <v>1447</v>
      </c>
      <c r="N75">
        <v>1</v>
      </c>
      <c r="O75" s="40" t="str">
        <f>_xlfn.XLOOKUP(M75, 'EN articles'!G:G, 'EN articles'!H:H, "Not found")</f>
        <v>Nanjing University of Aeronautics and Astronautics, Nanjing, Jiangsu, China</v>
      </c>
      <c r="Q75" s="4" t="s">
        <v>343</v>
      </c>
      <c r="R75">
        <v>1</v>
      </c>
    </row>
    <row r="76" spans="13:18" ht="17.7" customHeight="1" x14ac:dyDescent="0.3">
      <c r="M76" s="4" t="s">
        <v>1402</v>
      </c>
      <c r="N76">
        <v>1</v>
      </c>
      <c r="O76" s="40" t="str">
        <f>_xlfn.XLOOKUP(M76, 'EN articles'!G:G, 'EN articles'!H:H, "Not found")</f>
        <v>Institute for Innovation and Development, Tsinghua University, Beijing, China</v>
      </c>
      <c r="Q76" s="4" t="s">
        <v>1149</v>
      </c>
      <c r="R76">
        <v>1</v>
      </c>
    </row>
    <row r="77" spans="13:18" ht="17.7" customHeight="1" x14ac:dyDescent="0.3">
      <c r="M77" s="4" t="s">
        <v>141</v>
      </c>
      <c r="N77">
        <v>1</v>
      </c>
      <c r="O77" s="40" t="str">
        <f>_xlfn.XLOOKUP(M77, 'EN articles'!G:G, 'EN articles'!H:H, "Not found")</f>
        <v>Laboratory for Manufacturing Systems and Automation, Department of Mechanical Engineering and Aeronautics, University of Patras, Patras, Greece</v>
      </c>
      <c r="Q77" s="4" t="s">
        <v>341</v>
      </c>
      <c r="R77">
        <v>1</v>
      </c>
    </row>
    <row r="78" spans="13:18" ht="17.7" customHeight="1" x14ac:dyDescent="0.3">
      <c r="M78" s="4" t="s">
        <v>1411</v>
      </c>
      <c r="N78">
        <v>1</v>
      </c>
      <c r="O78" s="40" t="str">
        <f>_xlfn.XLOOKUP(M78, 'EN articles'!G:G, 'EN articles'!H:H, "Not found")</f>
        <v>Nanjing University of Aeronautics and Astronautics, Nanjing, Jiangsu, China</v>
      </c>
      <c r="Q78" s="4" t="s">
        <v>1150</v>
      </c>
      <c r="R78">
        <v>1</v>
      </c>
    </row>
    <row r="79" spans="13:18" ht="17.7" customHeight="1" x14ac:dyDescent="0.3">
      <c r="M79" s="4" t="s">
        <v>1400</v>
      </c>
      <c r="N79">
        <v>1</v>
      </c>
      <c r="O79" s="40" t="str">
        <f>_xlfn.XLOOKUP(M79, 'EN articles'!G:G, 'EN articles'!H:H, "Not found")</f>
        <v>Fraunhofer Institute for Manufacturing Engineering and Automation IPA, Stuttgart, Baden-Wurttemberg, Germany</v>
      </c>
      <c r="Q79" s="4" t="s">
        <v>348</v>
      </c>
      <c r="R79">
        <v>1</v>
      </c>
    </row>
    <row r="80" spans="13:18" ht="17.7" customHeight="1" x14ac:dyDescent="0.3">
      <c r="M80" s="4" t="s">
        <v>1396</v>
      </c>
      <c r="N80">
        <v>1</v>
      </c>
      <c r="O80" s="40" t="str">
        <f>_xlfn.XLOOKUP(M80, 'EN articles'!G:G, 'EN articles'!H:H, "Not found")</f>
        <v>Department of Industrial Engineering and Management, National Yang Ming Chiao Tung University, Hsinchu, Taiwan</v>
      </c>
      <c r="Q80" s="4" t="s">
        <v>959</v>
      </c>
      <c r="R80">
        <v>1</v>
      </c>
    </row>
    <row r="81" spans="13:18" ht="17.7" customHeight="1" x14ac:dyDescent="0.3">
      <c r="M81" s="4" t="s">
        <v>1392</v>
      </c>
      <c r="N81">
        <v>1</v>
      </c>
      <c r="O81" s="40" t="str">
        <f>_xlfn.XLOOKUP(M81, 'EN articles'!G:G, 'EN articles'!H:H, "Not found")</f>
        <v>Thomas J. Watson College of Engineering and Applied Science, Binghamton, NY, United States</v>
      </c>
      <c r="Q81" s="4" t="s">
        <v>355</v>
      </c>
      <c r="R81">
        <v>1</v>
      </c>
    </row>
    <row r="82" spans="13:18" ht="17.7" customHeight="1" x14ac:dyDescent="0.3">
      <c r="M82" s="4" t="s">
        <v>1413</v>
      </c>
      <c r="N82">
        <v>1</v>
      </c>
      <c r="O82" s="40" t="str">
        <f>_xlfn.XLOOKUP(M82, 'EN articles'!G:G, 'EN articles'!H:H, "Not found")</f>
        <v>Department of Industrial and Systems Engineering, The Hong Kong Polytechnic University, Hong Kong, Hong Kong, Hong Kong</v>
      </c>
      <c r="Q82" s="4" t="s">
        <v>1174</v>
      </c>
      <c r="R82">
        <v>1</v>
      </c>
    </row>
    <row r="83" spans="13:18" ht="17.7" customHeight="1" x14ac:dyDescent="0.3">
      <c r="M83" s="4" t="s">
        <v>1404</v>
      </c>
      <c r="N83">
        <v>1</v>
      </c>
      <c r="O83" s="40" t="str">
        <f>_xlfn.XLOOKUP(M83, 'EN articles'!G:G, 'EN articles'!H:H, "Not found")</f>
        <v>Department of Mechanical Engineering, Tsinghua University, Beijing, China</v>
      </c>
      <c r="Q83" s="4" t="s">
        <v>349</v>
      </c>
      <c r="R83">
        <v>1</v>
      </c>
    </row>
    <row r="84" spans="13:18" ht="17.7" customHeight="1" x14ac:dyDescent="0.3">
      <c r="M84" s="4" t="s">
        <v>1409</v>
      </c>
      <c r="N84">
        <v>1</v>
      </c>
      <c r="O84" s="40" t="str">
        <f>_xlfn.XLOOKUP(M84, 'EN articles'!G:G, 'EN articles'!H:H, "Not found")</f>
        <v>Department of Pediatrics, University of Science and Technology of China, Hefei, Anhui, China</v>
      </c>
      <c r="Q84" s="4" t="s">
        <v>1177</v>
      </c>
      <c r="R84">
        <v>1</v>
      </c>
    </row>
    <row r="85" spans="13:18" ht="17.7" customHeight="1" x14ac:dyDescent="0.3">
      <c r="M85" s="4" t="s">
        <v>167</v>
      </c>
      <c r="N85">
        <v>1</v>
      </c>
      <c r="O85" s="40" t="str">
        <f>_xlfn.XLOOKUP(M85, 'EN articles'!G:G, 'EN articles'!H:H, "Not found")</f>
        <v>Department of Industrial and Systems Engineering, The Hong Kong Polytechnic University, Hong Kong Special Administrative Region, China</v>
      </c>
      <c r="Q85" s="4" t="s">
        <v>346</v>
      </c>
      <c r="R85">
        <v>1</v>
      </c>
    </row>
    <row r="86" spans="13:18" ht="17.7" customHeight="1" x14ac:dyDescent="0.3">
      <c r="M86" s="4" t="s">
        <v>1410</v>
      </c>
      <c r="N86">
        <v>1</v>
      </c>
      <c r="O86" s="40" t="str">
        <f>_xlfn.XLOOKUP(M86, 'EN articles'!G:G, 'EN articles'!H:H, "Not found")</f>
        <v>Department of Industrial Engineering and Management, National Taipei University of Technology, Taipei, Taiwan</v>
      </c>
      <c r="Q86" s="4" t="s">
        <v>1179</v>
      </c>
      <c r="R86">
        <v>1</v>
      </c>
    </row>
    <row r="87" spans="13:18" ht="17.7" customHeight="1" x14ac:dyDescent="0.3">
      <c r="M87" s="4" t="s">
        <v>163</v>
      </c>
      <c r="N87">
        <v>1</v>
      </c>
      <c r="O87" s="40" t="str">
        <f>_xlfn.XLOOKUP(M87, 'EN articles'!G:G, 'EN articles'!H:H, "Not found")</f>
        <v>Institute of Artificial Intelligence, University of Science and Technology Beijing, Beijing, China</v>
      </c>
      <c r="Q87" s="4" t="s">
        <v>352</v>
      </c>
      <c r="R87">
        <v>1</v>
      </c>
    </row>
    <row r="88" spans="13:18" ht="17.7" customHeight="1" x14ac:dyDescent="0.3">
      <c r="M88" s="4" t="s">
        <v>1403</v>
      </c>
      <c r="N88">
        <v>1</v>
      </c>
      <c r="O88" s="40" t="str">
        <f>_xlfn.XLOOKUP(M88, 'EN articles'!G:G, 'EN articles'!H:H, "Not found")</f>
        <v>School of Computer Science and Software Engineering, Shenzhen University, Shenzhen, Guangdong, China</v>
      </c>
      <c r="Q88" s="4" t="s">
        <v>1252</v>
      </c>
      <c r="R88">
        <v>1</v>
      </c>
    </row>
    <row r="89" spans="13:18" ht="17.7" customHeight="1" x14ac:dyDescent="0.3">
      <c r="M89" s="4" t="s">
        <v>165</v>
      </c>
      <c r="N89">
        <v>1</v>
      </c>
      <c r="O89" s="40" t="str">
        <f>_xlfn.XLOOKUP(M89, 'EN articles'!G:G, 'EN articles'!H:H, "Not found")</f>
        <v>Department of Industrial and Systems Engineering, The Hong Kong Polytechnic University, Hong Kong</v>
      </c>
      <c r="Q89" s="4" t="s">
        <v>336</v>
      </c>
      <c r="R89">
        <v>1</v>
      </c>
    </row>
    <row r="90" spans="13:18" ht="17.7" customHeight="1" x14ac:dyDescent="0.3">
      <c r="M90" s="4" t="s">
        <v>1412</v>
      </c>
      <c r="N90">
        <v>1</v>
      </c>
      <c r="O90" s="40" t="str">
        <f>_xlfn.XLOOKUP(M90, 'EN articles'!G:G, 'EN articles'!H:H, "Not found")</f>
        <v>Department of Industrial and Systems Engineering, The Hong Kong Polytechnic University, Hong Kong, Hong Kong, Hong Kong</v>
      </c>
      <c r="Q90" s="4" t="s">
        <v>1255</v>
      </c>
      <c r="R90">
        <v>1</v>
      </c>
    </row>
    <row r="91" spans="13:18" ht="17.7" customHeight="1" x14ac:dyDescent="0.3">
      <c r="M91" s="4" t="s">
        <v>143</v>
      </c>
      <c r="N91">
        <v>1</v>
      </c>
      <c r="O91" s="40" t="str">
        <f>_xlfn.XLOOKUP(M91, 'EN articles'!G:G, 'EN articles'!H:H, "Not found")</f>
        <v>School of Artificial Intelligence, Anhui Polytechnic University, Wuhu, 241000, China</v>
      </c>
      <c r="Q91" s="4" t="s">
        <v>338</v>
      </c>
      <c r="R91">
        <v>1</v>
      </c>
    </row>
    <row r="92" spans="13:18" ht="17.7" customHeight="1" x14ac:dyDescent="0.3">
      <c r="M92" s="4" t="s">
        <v>1393</v>
      </c>
      <c r="N92">
        <v>1</v>
      </c>
      <c r="O92" s="40" t="str">
        <f>_xlfn.XLOOKUP(M92, 'EN articles'!G:G, 'EN articles'!H:H, "Not found")</f>
        <v>Korea Advanced Institute of Science and Technology, Daejeon, South Korea</v>
      </c>
      <c r="Q92" s="4" t="s">
        <v>1257</v>
      </c>
      <c r="R92">
        <v>1</v>
      </c>
    </row>
    <row r="93" spans="13:18" ht="17.7" customHeight="1" x14ac:dyDescent="0.3">
      <c r="M93" s="4" t="s">
        <v>144</v>
      </c>
      <c r="N93">
        <v>1</v>
      </c>
      <c r="O93" s="40" t="str">
        <f>_xlfn.XLOOKUP(M93, 'EN articles'!G:G, 'EN articles'!H:H, "Not found")</f>
        <v>College of Mechanical Engineering, Donghua University, Shanghai, 201620, China</v>
      </c>
      <c r="Q93" s="4" t="s">
        <v>339</v>
      </c>
      <c r="R93">
        <v>1</v>
      </c>
    </row>
    <row r="94" spans="13:18" ht="17.7" customHeight="1" x14ac:dyDescent="0.3">
      <c r="M94" s="4" t="s">
        <v>1415</v>
      </c>
      <c r="N94">
        <v>1</v>
      </c>
      <c r="O94" s="40" t="str">
        <f>_xlfn.XLOOKUP(M94, 'EN articles'!G:G, 'EN articles'!H:H, "Not found")</f>
        <v>Xi'an Jiaotong University, Xi'an, Shaanxi, China</v>
      </c>
      <c r="Q94" s="4" t="s">
        <v>1261</v>
      </c>
      <c r="R94">
        <v>1</v>
      </c>
    </row>
    <row r="95" spans="13:18" ht="17.7" customHeight="1" x14ac:dyDescent="0.3">
      <c r="M95" s="4" t="s">
        <v>130</v>
      </c>
      <c r="N95">
        <v>1</v>
      </c>
      <c r="O95" s="40" t="str">
        <f>_xlfn.XLOOKUP(M95, 'EN articles'!G:G, 'EN articles'!H:H, "Not found")</f>
        <v>Department of Management and Production Engineering, Politecnico di Torino, Corso Duca degli Abruzzi 24, Torino, 10129, Italy</v>
      </c>
      <c r="Q95" s="4" t="s">
        <v>342</v>
      </c>
      <c r="R95">
        <v>1</v>
      </c>
    </row>
    <row r="96" spans="13:18" ht="17.7" customHeight="1" x14ac:dyDescent="0.3">
      <c r="M96" s="4" t="s">
        <v>1391</v>
      </c>
      <c r="N96">
        <v>1</v>
      </c>
      <c r="O96" s="40" t="str">
        <f>_xlfn.XLOOKUP(M96, 'EN articles'!G:G, 'EN articles'!H:H, "Not found")</f>
        <v>University of Virginia School of Engineering and Applied Science, Charlottesville, VA, United States</v>
      </c>
      <c r="Q96" s="4" t="s">
        <v>1293</v>
      </c>
      <c r="R96">
        <v>1</v>
      </c>
    </row>
    <row r="97" spans="13:18" ht="28.8" x14ac:dyDescent="0.3">
      <c r="M97" s="5" t="s">
        <v>325</v>
      </c>
      <c r="N97">
        <v>1</v>
      </c>
      <c r="O97" s="40" t="str">
        <f>_xlfn.XLOOKUP(M97, 'EN articles'!G:G, 'EN articles'!H:H, "Not found")</f>
        <v>Center for Transportation &amp; Logistics, Massachusetts Institute of Technology, Cambridge, MA, United States</v>
      </c>
      <c r="Q97" s="4" t="s">
        <v>344</v>
      </c>
      <c r="R97">
        <v>1</v>
      </c>
    </row>
    <row r="98" spans="13:18" ht="17.7" customHeight="1" x14ac:dyDescent="0.3">
      <c r="M98" s="4" t="s">
        <v>1397</v>
      </c>
      <c r="N98">
        <v>1</v>
      </c>
      <c r="O98" s="40" t="str">
        <f>_xlfn.XLOOKUP(M98, 'EN articles'!G:G, 'EN articles'!H:H, "Not found")</f>
        <v>Institute of Computing Technology Chinese Academy of Sciences, Beijing, Beijing, China</v>
      </c>
      <c r="Q98" s="4" t="s">
        <v>1296</v>
      </c>
      <c r="R98">
        <v>1</v>
      </c>
    </row>
    <row r="99" spans="13:18" ht="17.7" customHeight="1" x14ac:dyDescent="0.3">
      <c r="M99" s="4" t="s">
        <v>323</v>
      </c>
      <c r="N99">
        <v>1</v>
      </c>
      <c r="O99" s="40" t="str">
        <f>_xlfn.XLOOKUP(M99, 'EN articles'!G:G, 'EN articles'!H:H, "Not found")</f>
        <v>The School of Mechanical Engineering, Zhejiang University, Hangzhou, 310058, China</v>
      </c>
      <c r="Q99" s="4" t="s">
        <v>345</v>
      </c>
      <c r="R99">
        <v>1</v>
      </c>
    </row>
    <row r="100" spans="13:18" ht="17.7" customHeight="1" x14ac:dyDescent="0.3">
      <c r="M100" s="4" t="s">
        <v>1406</v>
      </c>
      <c r="N100">
        <v>1</v>
      </c>
      <c r="O100" s="40" t="str">
        <f>_xlfn.XLOOKUP(M100, 'EN articles'!G:G, 'EN articles'!H:H, "Not found")</f>
        <v>State Key Laboratory of Mechanical Transmission for Advanced Equipment, Chongqing University, Chongqing, China</v>
      </c>
      <c r="Q100" s="4" t="s">
        <v>1327</v>
      </c>
      <c r="R100">
        <v>1</v>
      </c>
    </row>
    <row r="101" spans="13:18" ht="17.7" customHeight="1" x14ac:dyDescent="0.3">
      <c r="M101" s="4" t="s">
        <v>329</v>
      </c>
      <c r="N101">
        <v>1</v>
      </c>
      <c r="O101" s="40" t="str">
        <f>_xlfn.XLOOKUP(M101, 'EN articles'!G:G, 'EN articles'!H:H, "Not found")</f>
        <v>Beijing Institute of Technology, Beijing, China</v>
      </c>
      <c r="Q101" s="4" t="s">
        <v>351</v>
      </c>
      <c r="R101">
        <v>1</v>
      </c>
    </row>
    <row r="102" spans="13:18" ht="17.7" customHeight="1" x14ac:dyDescent="0.3">
      <c r="M102" s="4" t="s">
        <v>1421</v>
      </c>
      <c r="N102">
        <v>1</v>
      </c>
      <c r="O102" s="40" t="str">
        <f>_xlfn.XLOOKUP(M102, 'EN articles'!G:G, 'EN articles'!H:H, "Not found")</f>
        <v>School of Mechanical and Aerospace Engineering, Singapore City, Singapore</v>
      </c>
      <c r="Q102" s="4" t="s">
        <v>1329</v>
      </c>
      <c r="R102">
        <v>1</v>
      </c>
    </row>
    <row r="103" spans="13:18" ht="17.7" customHeight="1" x14ac:dyDescent="0.3">
      <c r="M103" s="4" t="s">
        <v>333</v>
      </c>
      <c r="N103">
        <v>1</v>
      </c>
      <c r="O103" s="40" t="str">
        <f>_xlfn.XLOOKUP(M103, 'EN articles'!G:G, 'EN articles'!H:H, "Not found")</f>
        <v>China University of Petroleum (East China), College of Computer Science and Technology, Qingdao, 266580, China</v>
      </c>
      <c r="Q103" s="4" t="s">
        <v>354</v>
      </c>
      <c r="R103">
        <v>1</v>
      </c>
    </row>
    <row r="104" spans="13:18" ht="17.7" customHeight="1" x14ac:dyDescent="0.3">
      <c r="M104" s="4" t="s">
        <v>1425</v>
      </c>
      <c r="N104">
        <v>1</v>
      </c>
      <c r="O104" s="40" t="str">
        <f>_xlfn.XLOOKUP(M104, 'EN articles'!G:G, 'EN articles'!H:H, "Not found")</f>
        <v>School of Mechanical Engineering and Automation, Beihang University, Beijing, China</v>
      </c>
      <c r="Q104" s="4" t="s">
        <v>1331</v>
      </c>
      <c r="R104">
        <v>1</v>
      </c>
    </row>
    <row r="105" spans="13:18" ht="17.7" customHeight="1" x14ac:dyDescent="0.3">
      <c r="M105" s="4" t="s">
        <v>330</v>
      </c>
      <c r="N105">
        <v>1</v>
      </c>
      <c r="O105" s="40" t="str">
        <f>_xlfn.XLOOKUP(M105, 'EN articles'!G:G, 'EN articles'!H:H, "Not found")</f>
        <v>Faculty of Engineering, Mahidol University, Image Information and Intelligence Laboratory, Department of Computer Engineering, Nakhon Pathom, 73170, Thailand</v>
      </c>
      <c r="Q105" s="4" t="s">
        <v>1461</v>
      </c>
      <c r="R105">
        <v>1</v>
      </c>
    </row>
    <row r="106" spans="13:18" ht="17.7" customHeight="1" x14ac:dyDescent="0.3">
      <c r="M106" s="4" t="s">
        <v>1398</v>
      </c>
      <c r="N106">
        <v>1</v>
      </c>
      <c r="O106" s="40" t="str">
        <f>_xlfn.XLOOKUP(M106, 'EN articles'!G:G, 'EN articles'!H:H, "Not found")</f>
        <v>TUM School of Management, Munich, Munich, Bayern, Germany</v>
      </c>
      <c r="Q106" s="4" t="s">
        <v>1357</v>
      </c>
      <c r="R106">
        <v>1</v>
      </c>
    </row>
    <row r="107" spans="13:18" ht="17.7" customHeight="1" x14ac:dyDescent="0.3">
      <c r="M107" s="4" t="s">
        <v>328</v>
      </c>
      <c r="N107">
        <v>1</v>
      </c>
      <c r="O107" s="40" t="str">
        <f>_xlfn.XLOOKUP(M107, 'EN articles'!G:G, 'EN articles'!H:H, "Not found")</f>
        <v>Carnegie Mellon University, United States</v>
      </c>
      <c r="Q107" s="4" t="s">
        <v>357</v>
      </c>
      <c r="R107">
        <v>1</v>
      </c>
    </row>
    <row r="108" spans="13:18" ht="17.7" customHeight="1" x14ac:dyDescent="0.3">
      <c r="M108" s="4" t="s">
        <v>1436</v>
      </c>
      <c r="N108">
        <v>1</v>
      </c>
      <c r="O108" s="40" t="str">
        <f>_xlfn.XLOOKUP(M108, 'EN articles'!G:G, 'EN articles'!H:H, "Not found")</f>
        <v>Research Institute for Advanced Manufacturing, The Hong Kong Polytechnic University, Hong Kong, Hong Kong, Hong Kong</v>
      </c>
      <c r="Q108" s="4" t="s">
        <v>1460</v>
      </c>
      <c r="R108">
        <v>1</v>
      </c>
    </row>
    <row r="109" spans="13:18" ht="17.7" customHeight="1" x14ac:dyDescent="0.3">
      <c r="M109" s="4" t="s">
        <v>331</v>
      </c>
      <c r="N109">
        <v>1</v>
      </c>
      <c r="O109" s="40" t="str">
        <f>_xlfn.XLOOKUP(M109, 'EN articles'!G:G, 'EN articles'!H:H, "Not found")</f>
        <v>Dalian Maritime University, School of Navigation, Dalian, 116026, China</v>
      </c>
      <c r="Q109" s="4" t="s">
        <v>1154</v>
      </c>
      <c r="R109">
        <v>1</v>
      </c>
    </row>
    <row r="110" spans="13:18" ht="17.7" customHeight="1" x14ac:dyDescent="0.3">
      <c r="M110" s="4" t="s">
        <v>1399</v>
      </c>
      <c r="N110">
        <v>1</v>
      </c>
      <c r="O110" s="40" t="str">
        <f>_xlfn.XLOOKUP(M110, 'EN articles'!G:G, 'EN articles'!H:H, "Not found")</f>
        <v>College of Information Science and Technology, Donghua University, Shanghai, Shanghai, China</v>
      </c>
      <c r="Q110" s="4" t="s">
        <v>1142</v>
      </c>
      <c r="R110">
        <v>1</v>
      </c>
    </row>
    <row r="111" spans="13:18" ht="17.7" customHeight="1" x14ac:dyDescent="0.3">
      <c r="M111" s="4" t="s">
        <v>322</v>
      </c>
      <c r="N111">
        <v>1</v>
      </c>
      <c r="O111" s="40" t="str">
        <f>_xlfn.XLOOKUP(M111, 'EN articles'!G:G, 'EN articles'!H:H, "Not found")</f>
        <v>Department of Mechanical Engineering, Massachusetts Institute of Technology, Cambridge, 02139, MA, United States</v>
      </c>
      <c r="Q111" s="4" t="s">
        <v>356</v>
      </c>
      <c r="R111">
        <v>1</v>
      </c>
    </row>
    <row r="112" spans="13:18" ht="17.7" customHeight="1" x14ac:dyDescent="0.3">
      <c r="M112" s="4" t="s">
        <v>1433</v>
      </c>
      <c r="N112">
        <v>1</v>
      </c>
      <c r="O112" s="40" t="str">
        <f>_xlfn.XLOOKUP(M112, 'EN articles'!G:G, 'EN articles'!H:H, "Not found")</f>
        <v>School of Automation Science and Electrical Engineering, Beihang University, Beijing, China</v>
      </c>
      <c r="Q112" s="4" t="s">
        <v>372</v>
      </c>
    </row>
    <row r="113" spans="13:18" ht="17.7" customHeight="1" x14ac:dyDescent="0.3">
      <c r="M113" s="4" t="s">
        <v>324</v>
      </c>
      <c r="N113">
        <v>1</v>
      </c>
      <c r="O113" s="40" t="str">
        <f>_xlfn.XLOOKUP(M113, 'EN articles'!G:G, 'EN articles'!H:H, "Not found")</f>
        <v>Department of Urology, Qilu Hospital of Shandong University, Jinan, China</v>
      </c>
      <c r="Q113" s="4" t="s">
        <v>206</v>
      </c>
      <c r="R113">
        <v>133</v>
      </c>
    </row>
    <row r="114" spans="13:18" ht="17.7" customHeight="1" x14ac:dyDescent="0.3">
      <c r="M114" s="4" t="s">
        <v>1435</v>
      </c>
      <c r="N114">
        <v>1</v>
      </c>
      <c r="O114" s="40" t="str">
        <f>_xlfn.XLOOKUP(M114, 'EN articles'!G:G, 'EN articles'!H:H, "Not found")</f>
        <v>School of Civil and Hydraulic Engineering, Huazhong University of Science and Technology, Wuhan, Hubei, China</v>
      </c>
    </row>
    <row r="115" spans="13:18" ht="17.7" customHeight="1" x14ac:dyDescent="0.3">
      <c r="M115" s="4" t="s">
        <v>326</v>
      </c>
      <c r="N115">
        <v>1</v>
      </c>
      <c r="O115" s="40" t="str">
        <f>_xlfn.XLOOKUP(M115, 'EN articles'!G:G, 'EN articles'!H:H, "Not found")</f>
        <v>School of Mechanical, Aerospace and Manufacturing Engineering, University of Connecticut, Storrs, 06269, CT, United States</v>
      </c>
    </row>
    <row r="116" spans="13:18" ht="17.7" customHeight="1" x14ac:dyDescent="0.3">
      <c r="M116" s="4" t="s">
        <v>1437</v>
      </c>
      <c r="N116">
        <v>1</v>
      </c>
      <c r="O116" s="40" t="str">
        <f>_xlfn.XLOOKUP(M116, 'EN articles'!G:G, 'EN articles'!H:H, "Not found")</f>
        <v>System Engineering and Applications Laboratory, Cadi Ayyad University, Marakech, Marrakesh-Safi, Morocco</v>
      </c>
    </row>
    <row r="117" spans="13:18" ht="17.7" customHeight="1" x14ac:dyDescent="0.3">
      <c r="M117" s="4" t="s">
        <v>327</v>
      </c>
      <c r="N117">
        <v>1</v>
      </c>
      <c r="O117" s="40" t="str">
        <f>_xlfn.XLOOKUP(M117, 'EN articles'!G:G, 'EN articles'!H:H, "Not found")</f>
        <v>Beijing University of Posts and Telecommunications, State Key Laboratory of Information Photonics and Optical Communications, Beijing, 100876, China</v>
      </c>
    </row>
    <row r="118" spans="13:18" ht="17.7" customHeight="1" x14ac:dyDescent="0.3">
      <c r="M118" s="4" t="s">
        <v>1394</v>
      </c>
      <c r="N118">
        <v>1</v>
      </c>
      <c r="O118" s="40" t="str">
        <f>_xlfn.XLOOKUP(M118, 'EN articles'!G:G, 'EN articles'!H:H, "Not found")</f>
        <v>Supply Chain AI Lab, Department of Engineering, Cambridge, Cambridgeshire, United Kingdom</v>
      </c>
    </row>
    <row r="119" spans="13:18" ht="17.7" customHeight="1" x14ac:dyDescent="0.3">
      <c r="M119" s="4" t="s">
        <v>332</v>
      </c>
      <c r="N119">
        <v>1</v>
      </c>
      <c r="O119" s="40" t="str">
        <f>_xlfn.XLOOKUP(M119, 'EN articles'!G:G, 'EN articles'!H:H, "Not found")</f>
        <v>Indian Institute of Science Bengaluru, India</v>
      </c>
    </row>
    <row r="120" spans="13:18" ht="17.7" customHeight="1" x14ac:dyDescent="0.3">
      <c r="M120" s="4" t="s">
        <v>1464</v>
      </c>
      <c r="N120">
        <v>1</v>
      </c>
      <c r="O120" s="40" t="str">
        <f>_xlfn.XLOOKUP(M120, 'EN articles'!G:G, 'EN articles'!H:H, "Not found")</f>
        <v>University of California, San Diego, La Jolla, CA, United States</v>
      </c>
    </row>
    <row r="121" spans="13:18" ht="17.7" customHeight="1" x14ac:dyDescent="0.3">
      <c r="M121" s="4" t="s">
        <v>171</v>
      </c>
      <c r="N121">
        <v>1</v>
      </c>
      <c r="O121" s="40" t="str">
        <f>_xlfn.XLOOKUP(M121, 'EN articles'!G:G, 'EN articles'!H:H, "Not found")</f>
        <v>The University of Texas at Dallas, Department of Electrical and Computer Engineering, Richardson, 75080, TX, United States</v>
      </c>
    </row>
    <row r="122" spans="13:18" ht="17.7" customHeight="1" x14ac:dyDescent="0.3">
      <c r="M122" s="4" t="s">
        <v>334</v>
      </c>
      <c r="N122">
        <v>1</v>
      </c>
      <c r="O122" s="40" t="str">
        <f>_xlfn.XLOOKUP(M122, 'EN articles'!G:G, 'EN articles'!H:H, "Not found")</f>
        <v>Chinese University of Hong Kong, Hong Kong</v>
      </c>
    </row>
    <row r="123" spans="13:18" ht="17.7" customHeight="1" x14ac:dyDescent="0.3">
      <c r="M123" s="4" t="s">
        <v>372</v>
      </c>
    </row>
    <row r="124" spans="13:18" ht="17.7" customHeight="1" x14ac:dyDescent="0.3">
      <c r="M124" s="4" t="s">
        <v>206</v>
      </c>
      <c r="N124">
        <v>133</v>
      </c>
    </row>
    <row r="125" spans="13:18" ht="17.7" customHeight="1" x14ac:dyDescent="0.3"/>
    <row r="126" spans="13:18" ht="17.7" customHeight="1" x14ac:dyDescent="0.3"/>
    <row r="127" spans="13:18" ht="17.7" customHeight="1" x14ac:dyDescent="0.3"/>
    <row r="128" spans="13:18" ht="17.7" customHeight="1" x14ac:dyDescent="0.3"/>
    <row r="129" ht="17.7" customHeight="1" x14ac:dyDescent="0.3"/>
    <row r="130" ht="17.7" customHeight="1" x14ac:dyDescent="0.3"/>
    <row r="131" ht="17.7" customHeight="1" x14ac:dyDescent="0.3"/>
    <row r="132" ht="17.7" customHeight="1" x14ac:dyDescent="0.3"/>
    <row r="133" ht="17.7" customHeight="1" x14ac:dyDescent="0.3"/>
    <row r="134" ht="17.7" customHeight="1" x14ac:dyDescent="0.3"/>
    <row r="135" ht="17.7" customHeight="1" x14ac:dyDescent="0.3"/>
    <row r="136" ht="17.7" customHeight="1" x14ac:dyDescent="0.3"/>
    <row r="137" ht="17.7" customHeight="1" x14ac:dyDescent="0.3"/>
    <row r="138" ht="17.7" customHeight="1" x14ac:dyDescent="0.3"/>
    <row r="139" ht="17.7" customHeight="1" x14ac:dyDescent="0.3"/>
    <row r="140" ht="17.7" customHeight="1" x14ac:dyDescent="0.3"/>
    <row r="141" ht="17.7" customHeight="1" x14ac:dyDescent="0.3"/>
    <row r="142" ht="17.7" customHeight="1" x14ac:dyDescent="0.3"/>
    <row r="143" ht="17.7" customHeight="1" x14ac:dyDescent="0.3"/>
    <row r="144" ht="17.7" customHeight="1" x14ac:dyDescent="0.3"/>
    <row r="145" ht="17.7" customHeight="1" x14ac:dyDescent="0.3"/>
    <row r="146" ht="17.7" customHeight="1" x14ac:dyDescent="0.3"/>
    <row r="147" ht="17.7" customHeight="1" x14ac:dyDescent="0.3"/>
    <row r="148" ht="17.7" customHeight="1" x14ac:dyDescent="0.3"/>
    <row r="149" ht="17.7" customHeight="1" x14ac:dyDescent="0.3"/>
    <row r="150" ht="17.7" customHeight="1" x14ac:dyDescent="0.3"/>
    <row r="151" ht="17.7" customHeight="1" x14ac:dyDescent="0.3"/>
    <row r="152" ht="17.7" customHeight="1" x14ac:dyDescent="0.3"/>
    <row r="153" ht="17.7" customHeight="1" x14ac:dyDescent="0.3"/>
    <row r="154" ht="17.7" customHeight="1" x14ac:dyDescent="0.3"/>
    <row r="155" ht="17.7" customHeight="1" x14ac:dyDescent="0.3"/>
    <row r="156" ht="17.7" customHeight="1" x14ac:dyDescent="0.3"/>
    <row r="157" ht="17.7" customHeight="1" x14ac:dyDescent="0.3"/>
    <row r="158" ht="17.7" customHeight="1" x14ac:dyDescent="0.3"/>
    <row r="159" ht="17.7" customHeight="1" x14ac:dyDescent="0.3"/>
    <row r="160" ht="17.7" customHeight="1" x14ac:dyDescent="0.3"/>
    <row r="161" ht="17.7" customHeight="1" x14ac:dyDescent="0.3"/>
    <row r="162" ht="17.7" customHeight="1" x14ac:dyDescent="0.3"/>
    <row r="163" ht="17.7" customHeight="1" x14ac:dyDescent="0.3"/>
    <row r="164" ht="17.7" customHeight="1" x14ac:dyDescent="0.3"/>
    <row r="165" ht="16.95" customHeight="1" x14ac:dyDescent="0.3"/>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7BD7A-398E-4862-8DC0-4D4CF5D0E745}">
  <dimension ref="A1:L134"/>
  <sheetViews>
    <sheetView zoomScale="85" zoomScaleNormal="85" workbookViewId="0">
      <selection activeCell="L49" sqref="L49"/>
    </sheetView>
  </sheetViews>
  <sheetFormatPr defaultRowHeight="14.4" x14ac:dyDescent="0.3"/>
  <cols>
    <col min="1" max="6" width="9.33203125" style="23"/>
    <col min="11" max="11" width="12.6640625" bestFit="1" customWidth="1"/>
    <col min="12" max="12" width="15.109375" bestFit="1" customWidth="1"/>
  </cols>
  <sheetData>
    <row r="1" spans="1:7" ht="43.2" x14ac:dyDescent="0.3">
      <c r="A1" s="2" t="s">
        <v>568</v>
      </c>
      <c r="B1" s="22" t="s">
        <v>584</v>
      </c>
      <c r="C1" s="2" t="s">
        <v>577</v>
      </c>
      <c r="D1" s="22" t="s">
        <v>584</v>
      </c>
      <c r="E1" s="2" t="s">
        <v>577</v>
      </c>
      <c r="F1" s="22" t="s">
        <v>734</v>
      </c>
    </row>
    <row r="2" spans="1:7" x14ac:dyDescent="0.3">
      <c r="A2" s="23">
        <f>'EN articles'!A2</f>
        <v>1</v>
      </c>
      <c r="B2" s="23">
        <f>'EN articles'!AL2</f>
        <v>1</v>
      </c>
      <c r="C2" s="23">
        <f>'EN articles'!AK2</f>
        <v>4</v>
      </c>
      <c r="D2" s="23" cm="1">
        <f t="array" ref="D2:E17">_xlfn.UNIQUE(B2:C134)</f>
        <v>1</v>
      </c>
      <c r="E2" s="23">
        <v>4</v>
      </c>
      <c r="F2" s="23">
        <f>COUNTIFS($B$2:$B$134, D2, $C$2:$C$134, E2)</f>
        <v>54</v>
      </c>
    </row>
    <row r="3" spans="1:7" x14ac:dyDescent="0.3">
      <c r="A3" s="23">
        <f>'EN articles'!A3</f>
        <v>2</v>
      </c>
      <c r="B3" s="23">
        <f>'EN articles'!AL3</f>
        <v>1</v>
      </c>
      <c r="C3" s="23">
        <f>'EN articles'!AK3</f>
        <v>4</v>
      </c>
      <c r="D3" s="23">
        <v>1</v>
      </c>
      <c r="E3" s="23">
        <v>3</v>
      </c>
      <c r="F3" s="23">
        <f t="shared" ref="F3:F17" si="0">COUNTIFS($B$2:$B$134, D3, $C$2:$C$134, E3)</f>
        <v>10</v>
      </c>
    </row>
    <row r="4" spans="1:7" x14ac:dyDescent="0.3">
      <c r="A4" s="23">
        <f>'EN articles'!A4</f>
        <v>3</v>
      </c>
      <c r="B4" s="23">
        <f>'EN articles'!AL4</f>
        <v>1</v>
      </c>
      <c r="C4" s="23">
        <f>'EN articles'!AK4</f>
        <v>3</v>
      </c>
      <c r="D4" s="23">
        <v>2</v>
      </c>
      <c r="E4" s="23">
        <v>5</v>
      </c>
      <c r="F4" s="23">
        <f>COUNTIFS($B$2:$B$134, D4, $C$2:$C$134, E4)</f>
        <v>33</v>
      </c>
    </row>
    <row r="5" spans="1:7" x14ac:dyDescent="0.3">
      <c r="A5" s="23">
        <f>'EN articles'!A5</f>
        <v>4</v>
      </c>
      <c r="B5" s="23">
        <f>'EN articles'!AL5</f>
        <v>2</v>
      </c>
      <c r="C5" s="23">
        <f>'EN articles'!AK5</f>
        <v>5</v>
      </c>
      <c r="D5" s="23">
        <v>2</v>
      </c>
      <c r="E5" s="23">
        <v>3</v>
      </c>
      <c r="F5" s="23">
        <f>COUNTIFS($B$2:$B$134, D5, $C$2:$C$134, E5)</f>
        <v>2</v>
      </c>
    </row>
    <row r="6" spans="1:7" x14ac:dyDescent="0.3">
      <c r="A6" s="23">
        <f>'EN articles'!A6</f>
        <v>5</v>
      </c>
      <c r="B6" s="23">
        <f>'EN articles'!AL6</f>
        <v>2</v>
      </c>
      <c r="C6" s="23">
        <f>'EN articles'!AK6</f>
        <v>3</v>
      </c>
      <c r="D6" s="23">
        <v>1</v>
      </c>
      <c r="E6" s="23">
        <v>8</v>
      </c>
      <c r="F6" s="23">
        <f t="shared" si="0"/>
        <v>1</v>
      </c>
    </row>
    <row r="7" spans="1:7" x14ac:dyDescent="0.3">
      <c r="A7" s="23">
        <f>'EN articles'!A7</f>
        <v>6</v>
      </c>
      <c r="B7" s="23">
        <f>'EN articles'!AL7</f>
        <v>1</v>
      </c>
      <c r="C7" s="23">
        <f>'EN articles'!AK7</f>
        <v>3</v>
      </c>
      <c r="D7" s="23">
        <v>1</v>
      </c>
      <c r="E7" s="23">
        <v>7</v>
      </c>
      <c r="F7" s="23">
        <f t="shared" si="0"/>
        <v>1</v>
      </c>
    </row>
    <row r="8" spans="1:7" x14ac:dyDescent="0.3">
      <c r="A8" s="23">
        <f>'EN articles'!A8</f>
        <v>7</v>
      </c>
      <c r="B8" s="23">
        <f>'EN articles'!AL8</f>
        <v>2</v>
      </c>
      <c r="C8" s="23">
        <f>'EN articles'!AK8</f>
        <v>5</v>
      </c>
      <c r="D8" s="23">
        <v>1</v>
      </c>
      <c r="E8" s="23">
        <v>5</v>
      </c>
      <c r="F8" s="23">
        <f t="shared" si="0"/>
        <v>11</v>
      </c>
    </row>
    <row r="9" spans="1:7" x14ac:dyDescent="0.3">
      <c r="A9" s="23">
        <f>'EN articles'!A9</f>
        <v>8</v>
      </c>
      <c r="B9" s="23">
        <f>'EN articles'!AL9</f>
        <v>1</v>
      </c>
      <c r="C9" s="23">
        <f>'EN articles'!AK9</f>
        <v>4</v>
      </c>
      <c r="D9" s="23">
        <v>1</v>
      </c>
      <c r="E9" s="23">
        <v>6</v>
      </c>
      <c r="F9" s="23">
        <f t="shared" si="0"/>
        <v>5</v>
      </c>
    </row>
    <row r="10" spans="1:7" x14ac:dyDescent="0.3">
      <c r="A10" s="23">
        <f>'EN articles'!A10</f>
        <v>9</v>
      </c>
      <c r="B10" s="23">
        <f>'EN articles'!AL10</f>
        <v>2</v>
      </c>
      <c r="C10" s="23">
        <f>'EN articles'!AK10</f>
        <v>5</v>
      </c>
      <c r="D10" s="23">
        <v>3</v>
      </c>
      <c r="E10" s="23">
        <v>5</v>
      </c>
      <c r="F10" s="23">
        <f t="shared" si="0"/>
        <v>3</v>
      </c>
    </row>
    <row r="11" spans="1:7" x14ac:dyDescent="0.3">
      <c r="A11" s="23">
        <f>'EN articles'!A11</f>
        <v>11</v>
      </c>
      <c r="B11" s="23">
        <f>'EN articles'!AL11</f>
        <v>2</v>
      </c>
      <c r="C11" s="23">
        <f>'EN articles'!AK11</f>
        <v>5</v>
      </c>
      <c r="D11" s="23">
        <v>3</v>
      </c>
      <c r="E11" s="23">
        <v>3</v>
      </c>
      <c r="F11" s="23">
        <f t="shared" si="0"/>
        <v>1</v>
      </c>
    </row>
    <row r="12" spans="1:7" x14ac:dyDescent="0.3">
      <c r="A12" s="23">
        <f>'EN articles'!A12</f>
        <v>12</v>
      </c>
      <c r="B12" s="23">
        <f>'EN articles'!AL12</f>
        <v>1</v>
      </c>
      <c r="C12" s="23">
        <f>'EN articles'!AK12</f>
        <v>4</v>
      </c>
      <c r="D12" s="23">
        <v>2</v>
      </c>
      <c r="E12" s="23">
        <v>6</v>
      </c>
      <c r="F12" s="23">
        <f t="shared" si="0"/>
        <v>4</v>
      </c>
    </row>
    <row r="13" spans="1:7" x14ac:dyDescent="0.3">
      <c r="A13" s="23">
        <f>'EN articles'!A13</f>
        <v>13</v>
      </c>
      <c r="B13" s="23">
        <f>'EN articles'!AL13</f>
        <v>1</v>
      </c>
      <c r="C13" s="23">
        <f>'EN articles'!AK13</f>
        <v>4</v>
      </c>
      <c r="D13" s="23">
        <v>1</v>
      </c>
      <c r="E13" s="23">
        <v>2</v>
      </c>
      <c r="F13" s="23">
        <f t="shared" si="0"/>
        <v>1</v>
      </c>
    </row>
    <row r="14" spans="1:7" x14ac:dyDescent="0.3">
      <c r="A14" s="23">
        <f>'EN articles'!A14</f>
        <v>14</v>
      </c>
      <c r="B14" s="23">
        <f>'EN articles'!AL14</f>
        <v>1</v>
      </c>
      <c r="C14" s="23">
        <f>'EN articles'!AK14</f>
        <v>4</v>
      </c>
      <c r="D14" s="23">
        <v>3</v>
      </c>
      <c r="E14" s="23">
        <v>1</v>
      </c>
      <c r="F14" s="23">
        <f t="shared" si="0"/>
        <v>1</v>
      </c>
    </row>
    <row r="15" spans="1:7" x14ac:dyDescent="0.3">
      <c r="A15" s="23">
        <f>'EN articles'!A15</f>
        <v>15</v>
      </c>
      <c r="B15" s="23">
        <f>'EN articles'!AL15</f>
        <v>1</v>
      </c>
      <c r="C15" s="23">
        <f>'EN articles'!AK15</f>
        <v>8</v>
      </c>
      <c r="D15" s="23">
        <v>2</v>
      </c>
      <c r="E15" s="23">
        <v>4</v>
      </c>
      <c r="F15" s="23">
        <f t="shared" si="0"/>
        <v>4</v>
      </c>
    </row>
    <row r="16" spans="1:7" x14ac:dyDescent="0.3">
      <c r="A16" s="23">
        <f>'EN articles'!A16</f>
        <v>16</v>
      </c>
      <c r="B16" s="23">
        <f>'EN articles'!AL16</f>
        <v>1</v>
      </c>
      <c r="C16" s="23">
        <f>'EN articles'!AK16</f>
        <v>4</v>
      </c>
      <c r="D16" s="23">
        <v>3</v>
      </c>
      <c r="E16" s="23">
        <v>4</v>
      </c>
      <c r="F16" s="23">
        <f>COUNTIFS($B$2:$B$134, D16, $C$2:$C$134, E16)</f>
        <v>1</v>
      </c>
      <c r="G16" s="24"/>
    </row>
    <row r="17" spans="1:7" x14ac:dyDescent="0.3">
      <c r="A17" s="23">
        <f>'EN articles'!A17</f>
        <v>17</v>
      </c>
      <c r="B17" s="23">
        <f>'EN articles'!AL17</f>
        <v>1</v>
      </c>
      <c r="C17" s="23">
        <f>'EN articles'!AK17</f>
        <v>4</v>
      </c>
      <c r="D17" s="23">
        <v>2</v>
      </c>
      <c r="E17" s="23">
        <v>7</v>
      </c>
      <c r="F17" s="23">
        <f t="shared" si="0"/>
        <v>1</v>
      </c>
    </row>
    <row r="18" spans="1:7" x14ac:dyDescent="0.3">
      <c r="A18" s="23">
        <f>'EN articles'!A18</f>
        <v>18</v>
      </c>
      <c r="B18" s="23">
        <f>'EN articles'!AL18</f>
        <v>1</v>
      </c>
      <c r="C18" s="23">
        <f>'EN articles'!AK18</f>
        <v>7</v>
      </c>
      <c r="D18"/>
      <c r="E18"/>
      <c r="F18" s="2">
        <f>SUM(F2:F17)</f>
        <v>133</v>
      </c>
      <c r="G18" s="24" t="s">
        <v>748</v>
      </c>
    </row>
    <row r="19" spans="1:7" x14ac:dyDescent="0.3">
      <c r="A19" s="23">
        <f>'EN articles'!A19</f>
        <v>19</v>
      </c>
      <c r="B19" s="23">
        <f>'EN articles'!AL19</f>
        <v>1</v>
      </c>
      <c r="C19" s="23">
        <f>'EN articles'!AK19</f>
        <v>4</v>
      </c>
      <c r="D19"/>
      <c r="E19"/>
    </row>
    <row r="20" spans="1:7" x14ac:dyDescent="0.3">
      <c r="A20" s="23">
        <f>'EN articles'!A20</f>
        <v>21</v>
      </c>
      <c r="B20" s="23">
        <f>'EN articles'!AL20</f>
        <v>1</v>
      </c>
      <c r="C20" s="23">
        <f>'EN articles'!AK20</f>
        <v>4</v>
      </c>
      <c r="D20"/>
      <c r="E20"/>
    </row>
    <row r="21" spans="1:7" x14ac:dyDescent="0.3">
      <c r="A21" s="23">
        <f>'EN articles'!A21</f>
        <v>22</v>
      </c>
      <c r="B21" s="23">
        <f>'EN articles'!AL21</f>
        <v>1</v>
      </c>
      <c r="C21" s="23">
        <f>'EN articles'!AK21</f>
        <v>4</v>
      </c>
      <c r="D21"/>
      <c r="E21"/>
    </row>
    <row r="22" spans="1:7" x14ac:dyDescent="0.3">
      <c r="A22" s="23">
        <f>'EN articles'!A22</f>
        <v>23</v>
      </c>
      <c r="B22" s="23">
        <f>'EN articles'!AL22</f>
        <v>1</v>
      </c>
      <c r="C22" s="23">
        <f>'EN articles'!AK22</f>
        <v>4</v>
      </c>
      <c r="D22"/>
      <c r="E22"/>
    </row>
    <row r="23" spans="1:7" x14ac:dyDescent="0.3">
      <c r="A23" s="23">
        <f>'EN articles'!A23</f>
        <v>24</v>
      </c>
      <c r="B23" s="23">
        <f>'EN articles'!AL23</f>
        <v>2</v>
      </c>
      <c r="C23" s="23">
        <f>'EN articles'!AK23</f>
        <v>5</v>
      </c>
      <c r="D23"/>
      <c r="E23"/>
    </row>
    <row r="24" spans="1:7" x14ac:dyDescent="0.3">
      <c r="A24" s="23">
        <f>'EN articles'!A24</f>
        <v>25</v>
      </c>
      <c r="B24" s="23">
        <f>'EN articles'!AL24</f>
        <v>1</v>
      </c>
      <c r="C24" s="23">
        <f>'EN articles'!AK24</f>
        <v>4</v>
      </c>
      <c r="D24"/>
      <c r="E24"/>
    </row>
    <row r="25" spans="1:7" x14ac:dyDescent="0.3">
      <c r="A25" s="23">
        <f>'EN articles'!A25</f>
        <v>26</v>
      </c>
      <c r="B25" s="23">
        <f>'EN articles'!AL25</f>
        <v>2</v>
      </c>
      <c r="C25" s="23">
        <f>'EN articles'!AK25</f>
        <v>3</v>
      </c>
      <c r="D25"/>
      <c r="E25"/>
    </row>
    <row r="26" spans="1:7" x14ac:dyDescent="0.3">
      <c r="A26" s="23">
        <f>'EN articles'!A26</f>
        <v>27</v>
      </c>
      <c r="B26" s="23">
        <f>'EN articles'!AL26</f>
        <v>1</v>
      </c>
      <c r="C26" s="23">
        <f>'EN articles'!AK26</f>
        <v>4</v>
      </c>
      <c r="D26"/>
      <c r="E26"/>
    </row>
    <row r="27" spans="1:7" x14ac:dyDescent="0.3">
      <c r="A27" s="23">
        <f>'EN articles'!A27</f>
        <v>28</v>
      </c>
      <c r="B27" s="23">
        <f>'EN articles'!AL27</f>
        <v>1</v>
      </c>
      <c r="C27" s="23">
        <f>'EN articles'!AK27</f>
        <v>4</v>
      </c>
      <c r="D27"/>
      <c r="E27"/>
    </row>
    <row r="28" spans="1:7" x14ac:dyDescent="0.3">
      <c r="A28" s="23">
        <f>'EN articles'!A28</f>
        <v>29</v>
      </c>
      <c r="B28" s="23">
        <f>'EN articles'!AL28</f>
        <v>1</v>
      </c>
      <c r="C28" s="23">
        <f>'EN articles'!AK28</f>
        <v>5</v>
      </c>
      <c r="D28"/>
      <c r="E28"/>
    </row>
    <row r="29" spans="1:7" x14ac:dyDescent="0.3">
      <c r="A29" s="23">
        <f>'EN articles'!A29</f>
        <v>30</v>
      </c>
      <c r="B29" s="23">
        <f>'EN articles'!AL29</f>
        <v>1</v>
      </c>
      <c r="C29" s="23">
        <f>'EN articles'!AK29</f>
        <v>4</v>
      </c>
      <c r="D29"/>
      <c r="E29"/>
    </row>
    <row r="30" spans="1:7" x14ac:dyDescent="0.3">
      <c r="A30" s="23">
        <f>'EN articles'!A30</f>
        <v>31</v>
      </c>
      <c r="B30" s="23">
        <f>'EN articles'!AL30</f>
        <v>1</v>
      </c>
      <c r="C30" s="23">
        <f>'EN articles'!AK30</f>
        <v>4</v>
      </c>
      <c r="D30"/>
      <c r="E30"/>
    </row>
    <row r="31" spans="1:7" x14ac:dyDescent="0.3">
      <c r="A31" s="23">
        <f>'EN articles'!A31</f>
        <v>32</v>
      </c>
      <c r="B31" s="23">
        <f>'EN articles'!AL31</f>
        <v>1</v>
      </c>
      <c r="C31" s="23">
        <f>'EN articles'!AK31</f>
        <v>6</v>
      </c>
      <c r="D31"/>
      <c r="E31"/>
    </row>
    <row r="32" spans="1:7" x14ac:dyDescent="0.3">
      <c r="A32" s="23">
        <f>'EN articles'!A32</f>
        <v>33</v>
      </c>
      <c r="B32" s="23">
        <f>'EN articles'!AL32</f>
        <v>1</v>
      </c>
      <c r="C32" s="23">
        <f>'EN articles'!AK32</f>
        <v>4</v>
      </c>
      <c r="D32"/>
      <c r="E32"/>
    </row>
    <row r="33" spans="1:12" x14ac:dyDescent="0.3">
      <c r="A33" s="23">
        <f>'EN articles'!A33</f>
        <v>34</v>
      </c>
      <c r="B33" s="23">
        <f>'EN articles'!AL33</f>
        <v>3</v>
      </c>
      <c r="C33" s="23">
        <f>'EN articles'!AK33</f>
        <v>5</v>
      </c>
      <c r="D33"/>
      <c r="E33"/>
    </row>
    <row r="34" spans="1:12" x14ac:dyDescent="0.3">
      <c r="A34" s="23">
        <f>'EN articles'!A34</f>
        <v>35</v>
      </c>
      <c r="B34" s="23">
        <f>'EN articles'!AL34</f>
        <v>1</v>
      </c>
      <c r="C34" s="23">
        <f>'EN articles'!AK34</f>
        <v>4</v>
      </c>
      <c r="D34"/>
      <c r="E34"/>
    </row>
    <row r="35" spans="1:12" x14ac:dyDescent="0.3">
      <c r="A35" s="23">
        <f>'EN articles'!A35</f>
        <v>36</v>
      </c>
      <c r="B35" s="23">
        <f>'EN articles'!AL35</f>
        <v>1</v>
      </c>
      <c r="C35" s="23">
        <f>'EN articles'!AK35</f>
        <v>4</v>
      </c>
      <c r="D35"/>
      <c r="E35"/>
    </row>
    <row r="36" spans="1:12" x14ac:dyDescent="0.3">
      <c r="A36" s="23">
        <f>'EN articles'!A36</f>
        <v>37</v>
      </c>
      <c r="B36" s="23">
        <f>'EN articles'!AL36</f>
        <v>1</v>
      </c>
      <c r="C36" s="23">
        <f>'EN articles'!AK36</f>
        <v>4</v>
      </c>
      <c r="D36"/>
      <c r="E36"/>
    </row>
    <row r="37" spans="1:12" x14ac:dyDescent="0.3">
      <c r="A37" s="23">
        <f>'EN articles'!A37</f>
        <v>38</v>
      </c>
      <c r="B37" s="23">
        <f>'EN articles'!AL37</f>
        <v>1</v>
      </c>
      <c r="C37" s="23">
        <f>'EN articles'!AK37</f>
        <v>6</v>
      </c>
      <c r="D37"/>
      <c r="E37"/>
    </row>
    <row r="38" spans="1:12" x14ac:dyDescent="0.3">
      <c r="A38" s="23">
        <f>'EN articles'!A38</f>
        <v>39</v>
      </c>
      <c r="B38" s="23">
        <f>'EN articles'!AL38</f>
        <v>1</v>
      </c>
      <c r="C38" s="23">
        <f>'EN articles'!AK38</f>
        <v>4</v>
      </c>
      <c r="D38"/>
      <c r="E38"/>
    </row>
    <row r="39" spans="1:12" x14ac:dyDescent="0.3">
      <c r="A39" s="23">
        <f>'EN articles'!A39</f>
        <v>40</v>
      </c>
      <c r="B39" s="23">
        <f>'EN articles'!AL39</f>
        <v>2</v>
      </c>
      <c r="C39" s="23">
        <f>'EN articles'!AK39</f>
        <v>5</v>
      </c>
      <c r="D39"/>
      <c r="E39"/>
    </row>
    <row r="40" spans="1:12" x14ac:dyDescent="0.3">
      <c r="A40" s="23">
        <f>'EN articles'!A40</f>
        <v>42</v>
      </c>
      <c r="B40" s="23">
        <f>'EN articles'!AL40</f>
        <v>1</v>
      </c>
      <c r="C40" s="23">
        <f>'EN articles'!AK40</f>
        <v>4</v>
      </c>
      <c r="D40"/>
      <c r="E40"/>
    </row>
    <row r="41" spans="1:12" x14ac:dyDescent="0.3">
      <c r="A41" s="23">
        <f>'EN articles'!A41</f>
        <v>43</v>
      </c>
      <c r="B41" s="23">
        <f>'EN articles'!AL41</f>
        <v>1</v>
      </c>
      <c r="C41" s="23">
        <f>'EN articles'!AK41</f>
        <v>5</v>
      </c>
      <c r="D41"/>
      <c r="E41"/>
    </row>
    <row r="42" spans="1:12" x14ac:dyDescent="0.3">
      <c r="A42" s="23">
        <f>'EN articles'!A42</f>
        <v>44</v>
      </c>
      <c r="B42" s="23">
        <f>'EN articles'!AL42</f>
        <v>2</v>
      </c>
      <c r="C42" s="23">
        <f>'EN articles'!AK42</f>
        <v>5</v>
      </c>
      <c r="D42"/>
      <c r="E42"/>
    </row>
    <row r="43" spans="1:12" x14ac:dyDescent="0.3">
      <c r="A43" s="23">
        <f>'EN articles'!A43</f>
        <v>45</v>
      </c>
      <c r="B43" s="23">
        <f>'EN articles'!AL43</f>
        <v>1</v>
      </c>
      <c r="C43" s="23">
        <f>'EN articles'!AK43</f>
        <v>4</v>
      </c>
      <c r="D43"/>
      <c r="E43"/>
    </row>
    <row r="44" spans="1:12" x14ac:dyDescent="0.3">
      <c r="A44" s="23">
        <f>'EN articles'!A44</f>
        <v>46</v>
      </c>
      <c r="B44" s="23">
        <f>'EN articles'!AL44</f>
        <v>1</v>
      </c>
      <c r="C44" s="23">
        <f>'EN articles'!AK44</f>
        <v>4</v>
      </c>
      <c r="D44"/>
      <c r="E44"/>
    </row>
    <row r="45" spans="1:12" x14ac:dyDescent="0.3">
      <c r="A45" s="23">
        <f>'EN articles'!A45</f>
        <v>47</v>
      </c>
      <c r="B45" s="23">
        <f>'EN articles'!AL45</f>
        <v>1</v>
      </c>
      <c r="C45" s="23">
        <f>'EN articles'!AK45</f>
        <v>4</v>
      </c>
      <c r="D45"/>
      <c r="E45"/>
      <c r="K45" s="3" t="s">
        <v>207</v>
      </c>
      <c r="L45" t="s">
        <v>735</v>
      </c>
    </row>
    <row r="46" spans="1:12" x14ac:dyDescent="0.3">
      <c r="A46" s="23">
        <f>'EN articles'!A46</f>
        <v>48</v>
      </c>
      <c r="B46" s="23">
        <f>'EN articles'!AL46</f>
        <v>3</v>
      </c>
      <c r="C46" s="23">
        <f>'EN articles'!AK46</f>
        <v>3</v>
      </c>
      <c r="D46"/>
      <c r="E46"/>
      <c r="K46" s="4">
        <v>1</v>
      </c>
      <c r="L46">
        <v>1</v>
      </c>
    </row>
    <row r="47" spans="1:12" x14ac:dyDescent="0.3">
      <c r="A47" s="23">
        <f>'EN articles'!A47</f>
        <v>49</v>
      </c>
      <c r="B47" s="23">
        <f>'EN articles'!AL47</f>
        <v>1</v>
      </c>
      <c r="C47" s="23">
        <f>'EN articles'!AK47</f>
        <v>4</v>
      </c>
      <c r="D47"/>
      <c r="E47"/>
      <c r="K47" s="4">
        <v>2</v>
      </c>
      <c r="L47">
        <v>1</v>
      </c>
    </row>
    <row r="48" spans="1:12" x14ac:dyDescent="0.3">
      <c r="A48" s="23">
        <f>'EN articles'!A48</f>
        <v>51</v>
      </c>
      <c r="B48" s="23">
        <f>'EN articles'!AL48</f>
        <v>1</v>
      </c>
      <c r="C48" s="23">
        <f>'EN articles'!AK48</f>
        <v>4</v>
      </c>
      <c r="D48"/>
      <c r="E48"/>
      <c r="K48" s="4">
        <v>3</v>
      </c>
      <c r="L48">
        <v>13</v>
      </c>
    </row>
    <row r="49" spans="1:12" x14ac:dyDescent="0.3">
      <c r="A49" s="23">
        <f>'EN articles'!A49</f>
        <v>52</v>
      </c>
      <c r="B49" s="23">
        <f>'EN articles'!AL49</f>
        <v>2</v>
      </c>
      <c r="C49" s="23">
        <f>'EN articles'!AK49</f>
        <v>6</v>
      </c>
      <c r="D49"/>
      <c r="E49"/>
      <c r="K49" s="4">
        <v>4</v>
      </c>
      <c r="L49">
        <v>59</v>
      </c>
    </row>
    <row r="50" spans="1:12" x14ac:dyDescent="0.3">
      <c r="A50" s="23">
        <f>'EN articles'!A50</f>
        <v>53</v>
      </c>
      <c r="B50" s="23">
        <f>'EN articles'!AL50</f>
        <v>1</v>
      </c>
      <c r="C50" s="23">
        <f>'EN articles'!AK50</f>
        <v>2</v>
      </c>
      <c r="D50"/>
      <c r="E50"/>
      <c r="K50" s="4">
        <v>5</v>
      </c>
      <c r="L50">
        <v>47</v>
      </c>
    </row>
    <row r="51" spans="1:12" x14ac:dyDescent="0.3">
      <c r="A51" s="23">
        <f>'EN articles'!A51</f>
        <v>54</v>
      </c>
      <c r="B51" s="23">
        <f>'EN articles'!AL51</f>
        <v>1</v>
      </c>
      <c r="C51" s="23">
        <f>'EN articles'!AK51</f>
        <v>4</v>
      </c>
      <c r="D51"/>
      <c r="E51"/>
      <c r="K51" s="4">
        <v>6</v>
      </c>
      <c r="L51">
        <v>9</v>
      </c>
    </row>
    <row r="52" spans="1:12" x14ac:dyDescent="0.3">
      <c r="A52" s="23">
        <f>'EN articles'!A52</f>
        <v>55</v>
      </c>
      <c r="B52" s="23">
        <f>'EN articles'!AL52</f>
        <v>3</v>
      </c>
      <c r="C52" s="23">
        <f>'EN articles'!AK52</f>
        <v>1</v>
      </c>
      <c r="D52"/>
      <c r="E52"/>
      <c r="K52" s="4">
        <v>7</v>
      </c>
      <c r="L52">
        <v>2</v>
      </c>
    </row>
    <row r="53" spans="1:12" x14ac:dyDescent="0.3">
      <c r="A53" s="23">
        <f>'EN articles'!A53</f>
        <v>57</v>
      </c>
      <c r="B53" s="23">
        <f>'EN articles'!AL53</f>
        <v>2</v>
      </c>
      <c r="C53" s="23">
        <f>'EN articles'!AK53</f>
        <v>4</v>
      </c>
      <c r="D53"/>
      <c r="E53"/>
      <c r="K53" s="4">
        <v>8</v>
      </c>
      <c r="L53">
        <v>1</v>
      </c>
    </row>
    <row r="54" spans="1:12" x14ac:dyDescent="0.3">
      <c r="A54" s="23">
        <f>'EN articles'!A54</f>
        <v>58</v>
      </c>
      <c r="B54" s="23">
        <f>'EN articles'!AL54</f>
        <v>1</v>
      </c>
      <c r="C54" s="23">
        <f>'EN articles'!AK54</f>
        <v>4</v>
      </c>
      <c r="D54"/>
      <c r="E54"/>
      <c r="K54" s="4" t="s">
        <v>372</v>
      </c>
    </row>
    <row r="55" spans="1:12" x14ac:dyDescent="0.3">
      <c r="A55" s="23">
        <f>'EN articles'!A55</f>
        <v>59</v>
      </c>
      <c r="B55" s="23">
        <f>'EN articles'!AL55</f>
        <v>1</v>
      </c>
      <c r="C55" s="23">
        <f>'EN articles'!AK55</f>
        <v>4</v>
      </c>
      <c r="D55"/>
      <c r="E55"/>
      <c r="K55" s="4" t="s">
        <v>206</v>
      </c>
      <c r="L55">
        <v>133</v>
      </c>
    </row>
    <row r="56" spans="1:12" x14ac:dyDescent="0.3">
      <c r="A56" s="23">
        <f>'EN articles'!A56</f>
        <v>61</v>
      </c>
      <c r="B56" s="23">
        <f>'EN articles'!AL56</f>
        <v>1</v>
      </c>
      <c r="C56" s="23">
        <f>'EN articles'!AK56</f>
        <v>3</v>
      </c>
      <c r="D56"/>
      <c r="E56"/>
    </row>
    <row r="57" spans="1:12" x14ac:dyDescent="0.3">
      <c r="A57" s="23">
        <f>'EN articles'!A57</f>
        <v>62</v>
      </c>
      <c r="B57" s="23">
        <f>'EN articles'!AL57</f>
        <v>1</v>
      </c>
      <c r="C57" s="23">
        <f>'EN articles'!AK57</f>
        <v>4</v>
      </c>
      <c r="D57"/>
      <c r="E57"/>
    </row>
    <row r="58" spans="1:12" x14ac:dyDescent="0.3">
      <c r="A58" s="23">
        <f>'EN articles'!A58</f>
        <v>63</v>
      </c>
      <c r="B58" s="23">
        <f>'EN articles'!AL58</f>
        <v>2</v>
      </c>
      <c r="C58" s="23">
        <f>'EN articles'!AK58</f>
        <v>5</v>
      </c>
      <c r="D58"/>
      <c r="E58"/>
    </row>
    <row r="59" spans="1:12" x14ac:dyDescent="0.3">
      <c r="A59" s="23">
        <f>'EN articles'!A59</f>
        <v>64</v>
      </c>
      <c r="B59" s="23">
        <f>'EN articles'!AL59</f>
        <v>1</v>
      </c>
      <c r="C59" s="23">
        <f>'EN articles'!AK59</f>
        <v>6</v>
      </c>
      <c r="D59"/>
      <c r="E59"/>
    </row>
    <row r="60" spans="1:12" x14ac:dyDescent="0.3">
      <c r="A60" s="23">
        <f>'EN articles'!A60</f>
        <v>65</v>
      </c>
      <c r="B60" s="23">
        <f>'EN articles'!AL60</f>
        <v>1</v>
      </c>
      <c r="C60" s="23">
        <f>'EN articles'!AK60</f>
        <v>3</v>
      </c>
      <c r="D60"/>
      <c r="E60"/>
    </row>
    <row r="61" spans="1:12" x14ac:dyDescent="0.3">
      <c r="A61" s="23">
        <f>'EN articles'!A61</f>
        <v>66</v>
      </c>
      <c r="B61" s="23">
        <f>'EN articles'!AL61</f>
        <v>2</v>
      </c>
      <c r="C61" s="23">
        <f>'EN articles'!AK61</f>
        <v>5</v>
      </c>
      <c r="D61"/>
      <c r="E61"/>
    </row>
    <row r="62" spans="1:12" x14ac:dyDescent="0.3">
      <c r="A62" s="23">
        <f>'EN articles'!A62</f>
        <v>67</v>
      </c>
      <c r="B62" s="23">
        <f>'EN articles'!AL62</f>
        <v>2</v>
      </c>
      <c r="C62" s="23">
        <f>'EN articles'!AK62</f>
        <v>4</v>
      </c>
      <c r="D62"/>
      <c r="E62"/>
    </row>
    <row r="63" spans="1:12" x14ac:dyDescent="0.3">
      <c r="A63" s="23">
        <f>'EN articles'!A63</f>
        <v>68</v>
      </c>
      <c r="B63" s="23">
        <f>'EN articles'!AL63</f>
        <v>2</v>
      </c>
      <c r="C63" s="23">
        <f>'EN articles'!AK63</f>
        <v>4</v>
      </c>
      <c r="D63"/>
      <c r="E63"/>
    </row>
    <row r="64" spans="1:12" x14ac:dyDescent="0.3">
      <c r="A64" s="23">
        <f>'EN articles'!A64</f>
        <v>70</v>
      </c>
      <c r="B64" s="23">
        <f>'EN articles'!AL64</f>
        <v>1</v>
      </c>
      <c r="C64" s="23">
        <f>'EN articles'!AK64</f>
        <v>5</v>
      </c>
      <c r="D64"/>
      <c r="E64"/>
    </row>
    <row r="65" spans="1:5" x14ac:dyDescent="0.3">
      <c r="A65" s="23">
        <f>'EN articles'!A65</f>
        <v>71</v>
      </c>
      <c r="B65" s="23">
        <f>'EN articles'!AL65</f>
        <v>1</v>
      </c>
      <c r="C65" s="23">
        <f>'EN articles'!AK65</f>
        <v>3</v>
      </c>
      <c r="D65"/>
      <c r="E65"/>
    </row>
    <row r="66" spans="1:5" x14ac:dyDescent="0.3">
      <c r="A66" s="23">
        <f>'EN articles'!A66</f>
        <v>72</v>
      </c>
      <c r="B66" s="23">
        <f>'EN articles'!AL66</f>
        <v>2</v>
      </c>
      <c r="C66" s="23">
        <f>'EN articles'!AK66</f>
        <v>5</v>
      </c>
      <c r="D66"/>
      <c r="E66"/>
    </row>
    <row r="67" spans="1:5" x14ac:dyDescent="0.3">
      <c r="A67" s="23">
        <f>'EN articles'!A67</f>
        <v>73</v>
      </c>
      <c r="B67" s="23">
        <f>'EN articles'!AL67</f>
        <v>1</v>
      </c>
      <c r="C67" s="23">
        <f>'EN articles'!AK67</f>
        <v>3</v>
      </c>
      <c r="D67"/>
      <c r="E67"/>
    </row>
    <row r="68" spans="1:5" x14ac:dyDescent="0.3">
      <c r="A68" s="23">
        <f>'EN articles'!A68</f>
        <v>75</v>
      </c>
      <c r="B68" s="23">
        <f>'EN articles'!AL68</f>
        <v>1</v>
      </c>
      <c r="C68" s="23">
        <f>'EN articles'!AK68</f>
        <v>4</v>
      </c>
      <c r="D68"/>
      <c r="E68"/>
    </row>
    <row r="69" spans="1:5" x14ac:dyDescent="0.3">
      <c r="A69" s="23">
        <f>'EN articles'!A69</f>
        <v>76</v>
      </c>
      <c r="B69" s="23">
        <f>'EN articles'!AL69</f>
        <v>1</v>
      </c>
      <c r="C69" s="23">
        <f>'EN articles'!AK69</f>
        <v>4</v>
      </c>
      <c r="D69"/>
      <c r="E69"/>
    </row>
    <row r="70" spans="1:5" x14ac:dyDescent="0.3">
      <c r="A70" s="23">
        <f>'EN articles'!A70</f>
        <v>77</v>
      </c>
      <c r="B70" s="23">
        <f>'EN articles'!AL70</f>
        <v>1</v>
      </c>
      <c r="C70" s="23">
        <f>'EN articles'!AK70</f>
        <v>4</v>
      </c>
      <c r="D70"/>
      <c r="E70"/>
    </row>
    <row r="71" spans="1:5" x14ac:dyDescent="0.3">
      <c r="A71" s="23">
        <f>'EN articles'!A71</f>
        <v>78</v>
      </c>
      <c r="B71" s="23">
        <f>'EN articles'!AL71</f>
        <v>2</v>
      </c>
      <c r="C71" s="23">
        <f>'EN articles'!AK71</f>
        <v>5</v>
      </c>
      <c r="D71"/>
      <c r="E71"/>
    </row>
    <row r="72" spans="1:5" x14ac:dyDescent="0.3">
      <c r="A72" s="23">
        <f>'EN articles'!A72</f>
        <v>80</v>
      </c>
      <c r="B72" s="23">
        <f>'EN articles'!AL72</f>
        <v>1</v>
      </c>
      <c r="C72" s="23">
        <f>'EN articles'!AK72</f>
        <v>4</v>
      </c>
      <c r="D72"/>
      <c r="E72"/>
    </row>
    <row r="73" spans="1:5" x14ac:dyDescent="0.3">
      <c r="A73" s="23">
        <f>'EN articles'!A73</f>
        <v>81</v>
      </c>
      <c r="B73" s="23">
        <f>'EN articles'!AL73</f>
        <v>2</v>
      </c>
      <c r="C73" s="23">
        <f>'EN articles'!AK73</f>
        <v>5</v>
      </c>
      <c r="D73"/>
      <c r="E73"/>
    </row>
    <row r="74" spans="1:5" x14ac:dyDescent="0.3">
      <c r="A74" s="23">
        <f>'EN articles'!A74</f>
        <v>83</v>
      </c>
      <c r="B74" s="23">
        <f>'EN articles'!AL74</f>
        <v>2</v>
      </c>
      <c r="C74" s="23">
        <f>'EN articles'!AK74</f>
        <v>5</v>
      </c>
      <c r="D74"/>
      <c r="E74"/>
    </row>
    <row r="75" spans="1:5" x14ac:dyDescent="0.3">
      <c r="A75" s="23">
        <f>'EN articles'!A75</f>
        <v>84</v>
      </c>
      <c r="B75" s="23">
        <f>'EN articles'!AL75</f>
        <v>1</v>
      </c>
      <c r="C75" s="23">
        <f>'EN articles'!AK75</f>
        <v>4</v>
      </c>
      <c r="D75"/>
      <c r="E75"/>
    </row>
    <row r="76" spans="1:5" x14ac:dyDescent="0.3">
      <c r="A76" s="23">
        <f>'EN articles'!A76</f>
        <v>85</v>
      </c>
      <c r="B76" s="23">
        <f>'EN articles'!AL76</f>
        <v>3</v>
      </c>
      <c r="C76" s="23">
        <f>'EN articles'!AK76</f>
        <v>4</v>
      </c>
      <c r="D76"/>
      <c r="E76"/>
    </row>
    <row r="77" spans="1:5" x14ac:dyDescent="0.3">
      <c r="A77" s="23">
        <f>'EN articles'!A77</f>
        <v>86</v>
      </c>
      <c r="B77" s="23">
        <f>'EN articles'!AL77</f>
        <v>2</v>
      </c>
      <c r="C77" s="23">
        <f>'EN articles'!AK77</f>
        <v>5</v>
      </c>
      <c r="D77"/>
      <c r="E77"/>
    </row>
    <row r="78" spans="1:5" x14ac:dyDescent="0.3">
      <c r="A78" s="23">
        <f>'EN articles'!A78</f>
        <v>87</v>
      </c>
      <c r="B78" s="23">
        <f>'EN articles'!AL78</f>
        <v>2</v>
      </c>
      <c r="C78" s="23">
        <f>'EN articles'!AK78</f>
        <v>5</v>
      </c>
    </row>
    <row r="79" spans="1:5" x14ac:dyDescent="0.3">
      <c r="A79" s="23">
        <f>'EN articles'!A79</f>
        <v>88</v>
      </c>
      <c r="B79" s="23">
        <f>'EN articles'!AL79</f>
        <v>1</v>
      </c>
      <c r="C79" s="23">
        <f>'EN articles'!AK79</f>
        <v>4</v>
      </c>
    </row>
    <row r="80" spans="1:5" x14ac:dyDescent="0.3">
      <c r="A80" s="23">
        <f>'EN articles'!A80</f>
        <v>89</v>
      </c>
      <c r="B80" s="23">
        <f>'EN articles'!AL80</f>
        <v>2</v>
      </c>
      <c r="C80" s="23">
        <f>'EN articles'!AK80</f>
        <v>5</v>
      </c>
    </row>
    <row r="81" spans="1:3" x14ac:dyDescent="0.3">
      <c r="A81" s="23">
        <f>'EN articles'!A81</f>
        <v>90</v>
      </c>
      <c r="B81" s="23">
        <f>'EN articles'!AL81</f>
        <v>2</v>
      </c>
      <c r="C81" s="23">
        <f>'EN articles'!AK81</f>
        <v>5</v>
      </c>
    </row>
    <row r="82" spans="1:3" x14ac:dyDescent="0.3">
      <c r="A82" s="23">
        <f>'EN articles'!A82</f>
        <v>91</v>
      </c>
      <c r="B82" s="23">
        <f>'EN articles'!AL82</f>
        <v>2</v>
      </c>
      <c r="C82" s="23">
        <f>'EN articles'!AK82</f>
        <v>5</v>
      </c>
    </row>
    <row r="83" spans="1:3" x14ac:dyDescent="0.3">
      <c r="A83" s="23">
        <f>'EN articles'!A83</f>
        <v>92</v>
      </c>
      <c r="B83" s="23">
        <f>'EN articles'!AL83</f>
        <v>2</v>
      </c>
      <c r="C83" s="23">
        <f>'EN articles'!AK83</f>
        <v>5</v>
      </c>
    </row>
    <row r="84" spans="1:3" x14ac:dyDescent="0.3">
      <c r="A84" s="23">
        <f>'EN articles'!A84</f>
        <v>93</v>
      </c>
      <c r="B84" s="23">
        <f>'EN articles'!AL84</f>
        <v>2</v>
      </c>
      <c r="C84" s="23">
        <f>'EN articles'!AK84</f>
        <v>5</v>
      </c>
    </row>
    <row r="85" spans="1:3" x14ac:dyDescent="0.3">
      <c r="A85" s="23">
        <f>'EN articles'!A85</f>
        <v>94</v>
      </c>
      <c r="B85" s="23">
        <f>'EN articles'!AL85</f>
        <v>1</v>
      </c>
      <c r="C85" s="23">
        <f>'EN articles'!AK85</f>
        <v>3</v>
      </c>
    </row>
    <row r="86" spans="1:3" x14ac:dyDescent="0.3">
      <c r="A86" s="23">
        <f>'EN articles'!A86</f>
        <v>95</v>
      </c>
      <c r="B86" s="23">
        <f>'EN articles'!AL86</f>
        <v>2</v>
      </c>
      <c r="C86" s="23">
        <f>'EN articles'!AK86</f>
        <v>6</v>
      </c>
    </row>
    <row r="87" spans="1:3" x14ac:dyDescent="0.3">
      <c r="A87" s="23">
        <f>'EN articles'!A87</f>
        <v>96</v>
      </c>
      <c r="B87" s="23">
        <f>'EN articles'!AL87</f>
        <v>2</v>
      </c>
      <c r="C87" s="23">
        <f>'EN articles'!AK87</f>
        <v>5</v>
      </c>
    </row>
    <row r="88" spans="1:3" x14ac:dyDescent="0.3">
      <c r="A88" s="23">
        <f>'EN articles'!A88</f>
        <v>97</v>
      </c>
      <c r="B88" s="23">
        <f>'EN articles'!AL88</f>
        <v>1</v>
      </c>
      <c r="C88" s="23">
        <f>'EN articles'!AK88</f>
        <v>6</v>
      </c>
    </row>
    <row r="89" spans="1:3" x14ac:dyDescent="0.3">
      <c r="A89" s="23">
        <f>'EN articles'!A89</f>
        <v>99</v>
      </c>
      <c r="B89" s="23">
        <f>'EN articles'!AL89</f>
        <v>2</v>
      </c>
      <c r="C89" s="23">
        <f>'EN articles'!AK89</f>
        <v>5</v>
      </c>
    </row>
    <row r="90" spans="1:3" x14ac:dyDescent="0.3">
      <c r="A90" s="23">
        <f>'EN articles'!A90</f>
        <v>100</v>
      </c>
      <c r="B90" s="23">
        <f>'EN articles'!AL90</f>
        <v>1</v>
      </c>
      <c r="C90" s="23">
        <f>'EN articles'!AK90</f>
        <v>5</v>
      </c>
    </row>
    <row r="91" spans="1:3" x14ac:dyDescent="0.3">
      <c r="A91" s="23">
        <f>'EN articles'!A91</f>
        <v>101</v>
      </c>
      <c r="B91" s="23">
        <f>'EN articles'!AL91</f>
        <v>2</v>
      </c>
      <c r="C91" s="23">
        <f>'EN articles'!AK91</f>
        <v>5</v>
      </c>
    </row>
    <row r="92" spans="1:3" x14ac:dyDescent="0.3">
      <c r="A92" s="23">
        <f>'EN articles'!A92</f>
        <v>102</v>
      </c>
      <c r="B92" s="23">
        <f>'EN articles'!AL92</f>
        <v>1</v>
      </c>
      <c r="C92" s="23">
        <f>'EN articles'!AK92</f>
        <v>3</v>
      </c>
    </row>
    <row r="93" spans="1:3" x14ac:dyDescent="0.3">
      <c r="A93" s="23">
        <f>'EN articles'!A93</f>
        <v>105</v>
      </c>
      <c r="B93" s="23">
        <f>'EN articles'!AL93</f>
        <v>1</v>
      </c>
      <c r="C93" s="23">
        <f>'EN articles'!AK93</f>
        <v>4</v>
      </c>
    </row>
    <row r="94" spans="1:3" x14ac:dyDescent="0.3">
      <c r="A94" s="23">
        <f>'EN articles'!A94</f>
        <v>106</v>
      </c>
      <c r="B94" s="23">
        <f>'EN articles'!AL94</f>
        <v>1</v>
      </c>
      <c r="C94" s="23">
        <f>'EN articles'!AK94</f>
        <v>4</v>
      </c>
    </row>
    <row r="95" spans="1:3" x14ac:dyDescent="0.3">
      <c r="A95" s="23">
        <f>'EN articles'!A95</f>
        <v>107</v>
      </c>
      <c r="B95" s="23">
        <f>'EN articles'!AL95</f>
        <v>1</v>
      </c>
      <c r="C95" s="23">
        <f>'EN articles'!AK95</f>
        <v>6</v>
      </c>
    </row>
    <row r="96" spans="1:3" x14ac:dyDescent="0.3">
      <c r="A96" s="23">
        <f>'EN articles'!A96</f>
        <v>108</v>
      </c>
      <c r="B96" s="23">
        <f>'EN articles'!AL96</f>
        <v>1</v>
      </c>
      <c r="C96" s="23">
        <f>'EN articles'!AK96</f>
        <v>3</v>
      </c>
    </row>
    <row r="97" spans="1:3" x14ac:dyDescent="0.3">
      <c r="A97" s="23">
        <f>'EN articles'!A97</f>
        <v>111</v>
      </c>
      <c r="B97" s="23">
        <f>'EN articles'!AL97</f>
        <v>1</v>
      </c>
      <c r="C97" s="23">
        <f>'EN articles'!AK97</f>
        <v>5</v>
      </c>
    </row>
    <row r="98" spans="1:3" x14ac:dyDescent="0.3">
      <c r="A98" s="23">
        <f>'EN articles'!A98</f>
        <v>112</v>
      </c>
      <c r="B98" s="23">
        <f>'EN articles'!AL98</f>
        <v>2</v>
      </c>
      <c r="C98" s="23">
        <f>'EN articles'!AK98</f>
        <v>5</v>
      </c>
    </row>
    <row r="99" spans="1:3" x14ac:dyDescent="0.3">
      <c r="A99" s="23">
        <f>'EN articles'!A99</f>
        <v>114</v>
      </c>
      <c r="B99" s="23">
        <f>'EN articles'!AL99</f>
        <v>3</v>
      </c>
      <c r="C99" s="23">
        <f>'EN articles'!AK99</f>
        <v>5</v>
      </c>
    </row>
    <row r="100" spans="1:3" x14ac:dyDescent="0.3">
      <c r="A100" s="23">
        <f>'EN articles'!A100</f>
        <v>115</v>
      </c>
      <c r="B100" s="23">
        <f>'EN articles'!AL100</f>
        <v>1</v>
      </c>
      <c r="C100" s="23">
        <f>'EN articles'!AK100</f>
        <v>3</v>
      </c>
    </row>
    <row r="101" spans="1:3" x14ac:dyDescent="0.3">
      <c r="A101" s="23">
        <f>'EN articles'!A101</f>
        <v>117</v>
      </c>
      <c r="B101" s="23">
        <f>'EN articles'!AL101</f>
        <v>2</v>
      </c>
      <c r="C101" s="23">
        <f>'EN articles'!AK101</f>
        <v>6</v>
      </c>
    </row>
    <row r="102" spans="1:3" x14ac:dyDescent="0.3">
      <c r="A102" s="23">
        <f>'EN articles'!A102</f>
        <v>118</v>
      </c>
      <c r="B102" s="23">
        <f>'EN articles'!AL102</f>
        <v>2</v>
      </c>
      <c r="C102" s="23">
        <f>'EN articles'!AK102</f>
        <v>5</v>
      </c>
    </row>
    <row r="103" spans="1:3" x14ac:dyDescent="0.3">
      <c r="A103" s="23">
        <f>'EN articles'!A103</f>
        <v>119</v>
      </c>
      <c r="B103" s="23">
        <f>'EN articles'!AL103</f>
        <v>2</v>
      </c>
      <c r="C103" s="23">
        <f>'EN articles'!AK103</f>
        <v>5</v>
      </c>
    </row>
    <row r="104" spans="1:3" x14ac:dyDescent="0.3">
      <c r="A104" s="23">
        <f>'EN articles'!A104</f>
        <v>120</v>
      </c>
      <c r="B104" s="23">
        <f>'EN articles'!AL104</f>
        <v>2</v>
      </c>
      <c r="C104" s="23">
        <f>'EN articles'!AK104</f>
        <v>6</v>
      </c>
    </row>
    <row r="105" spans="1:3" x14ac:dyDescent="0.3">
      <c r="A105" s="23">
        <f>'EN articles'!A105</f>
        <v>122</v>
      </c>
      <c r="B105" s="23">
        <f>'EN articles'!AL105</f>
        <v>1</v>
      </c>
      <c r="C105" s="23">
        <f>'EN articles'!AK105</f>
        <v>5</v>
      </c>
    </row>
    <row r="106" spans="1:3" x14ac:dyDescent="0.3">
      <c r="A106" s="23">
        <f>'EN articles'!A106</f>
        <v>123</v>
      </c>
      <c r="B106" s="23">
        <f>'EN articles'!AL106</f>
        <v>1</v>
      </c>
      <c r="C106" s="23">
        <f>'EN articles'!AK106</f>
        <v>4</v>
      </c>
    </row>
    <row r="107" spans="1:3" x14ac:dyDescent="0.3">
      <c r="A107" s="23">
        <f>'EN articles'!A107</f>
        <v>125</v>
      </c>
      <c r="B107" s="23">
        <f>'EN articles'!AL107</f>
        <v>1</v>
      </c>
      <c r="C107" s="23">
        <f>'EN articles'!AK107</f>
        <v>5</v>
      </c>
    </row>
    <row r="108" spans="1:3" x14ac:dyDescent="0.3">
      <c r="A108" s="23">
        <f>'EN articles'!A108</f>
        <v>127</v>
      </c>
      <c r="B108" s="23">
        <f>'EN articles'!AL108</f>
        <v>2</v>
      </c>
      <c r="C108" s="23">
        <f>'EN articles'!AK108</f>
        <v>5</v>
      </c>
    </row>
    <row r="109" spans="1:3" x14ac:dyDescent="0.3">
      <c r="A109" s="23">
        <f>'EN articles'!A109</f>
        <v>128</v>
      </c>
      <c r="B109" s="23">
        <f>'EN articles'!AL109</f>
        <v>1</v>
      </c>
      <c r="C109" s="23">
        <f>'EN articles'!AK109</f>
        <v>5</v>
      </c>
    </row>
    <row r="110" spans="1:3" x14ac:dyDescent="0.3">
      <c r="A110" s="23">
        <f>'EN articles'!A110</f>
        <v>130</v>
      </c>
      <c r="B110" s="23">
        <f>'EN articles'!AL110</f>
        <v>2</v>
      </c>
      <c r="C110" s="23">
        <f>'EN articles'!AK110</f>
        <v>5</v>
      </c>
    </row>
    <row r="111" spans="1:3" x14ac:dyDescent="0.3">
      <c r="A111" s="23">
        <f>'EN articles'!A111</f>
        <v>131</v>
      </c>
      <c r="B111" s="23">
        <f>'EN articles'!AL111</f>
        <v>1</v>
      </c>
      <c r="C111" s="23">
        <f>'EN articles'!AK111</f>
        <v>5</v>
      </c>
    </row>
    <row r="112" spans="1:3" x14ac:dyDescent="0.3">
      <c r="A112" s="23">
        <f>'EN articles'!A112</f>
        <v>132</v>
      </c>
      <c r="B112" s="23">
        <f>'EN articles'!AL112</f>
        <v>1</v>
      </c>
      <c r="C112" s="23">
        <f>'EN articles'!AK112</f>
        <v>4</v>
      </c>
    </row>
    <row r="113" spans="1:3" x14ac:dyDescent="0.3">
      <c r="A113" s="23">
        <f>'EN articles'!A113</f>
        <v>134</v>
      </c>
      <c r="B113" s="23">
        <f>'EN articles'!AL113</f>
        <v>1</v>
      </c>
      <c r="C113" s="23">
        <f>'EN articles'!AK113</f>
        <v>4</v>
      </c>
    </row>
    <row r="114" spans="1:3" x14ac:dyDescent="0.3">
      <c r="A114" s="23">
        <f>'EN articles'!A114</f>
        <v>135</v>
      </c>
      <c r="B114" s="23">
        <f>'EN articles'!AL114</f>
        <v>2</v>
      </c>
      <c r="C114" s="23">
        <f>'EN articles'!AK114</f>
        <v>5</v>
      </c>
    </row>
    <row r="115" spans="1:3" x14ac:dyDescent="0.3">
      <c r="A115" s="23">
        <f>'EN articles'!A115</f>
        <v>137</v>
      </c>
      <c r="B115" s="23">
        <f>'EN articles'!AL115</f>
        <v>2</v>
      </c>
      <c r="C115" s="23">
        <f>'EN articles'!AK115</f>
        <v>5</v>
      </c>
    </row>
    <row r="116" spans="1:3" x14ac:dyDescent="0.3">
      <c r="A116" s="23">
        <f>'EN articles'!A116</f>
        <v>138</v>
      </c>
      <c r="B116" s="23">
        <f>'EN articles'!AL116</f>
        <v>1</v>
      </c>
      <c r="C116" s="23">
        <f>'EN articles'!AK116</f>
        <v>4</v>
      </c>
    </row>
    <row r="117" spans="1:3" x14ac:dyDescent="0.3">
      <c r="A117" s="23">
        <f>'EN articles'!A117</f>
        <v>141</v>
      </c>
      <c r="B117" s="23">
        <f>'EN articles'!AL117</f>
        <v>1</v>
      </c>
      <c r="C117" s="23">
        <f>'EN articles'!AK117</f>
        <v>4</v>
      </c>
    </row>
    <row r="118" spans="1:3" x14ac:dyDescent="0.3">
      <c r="A118" s="23">
        <f>'EN articles'!A118</f>
        <v>146</v>
      </c>
      <c r="B118" s="23">
        <f>'EN articles'!AL118</f>
        <v>1</v>
      </c>
      <c r="C118" s="23">
        <f>'EN articles'!AK118</f>
        <v>4</v>
      </c>
    </row>
    <row r="119" spans="1:3" x14ac:dyDescent="0.3">
      <c r="A119" s="23">
        <f>'EN articles'!A119</f>
        <v>153</v>
      </c>
      <c r="B119" s="23">
        <f>'EN articles'!AL119</f>
        <v>1</v>
      </c>
      <c r="C119" s="23">
        <f>'EN articles'!AK119</f>
        <v>4</v>
      </c>
    </row>
    <row r="120" spans="1:3" x14ac:dyDescent="0.3">
      <c r="A120" s="23">
        <f>'EN articles'!A120</f>
        <v>154</v>
      </c>
      <c r="B120" s="23">
        <f>'EN articles'!AL120</f>
        <v>1</v>
      </c>
      <c r="C120" s="23">
        <f>'EN articles'!AK120</f>
        <v>4</v>
      </c>
    </row>
    <row r="121" spans="1:3" x14ac:dyDescent="0.3">
      <c r="A121" s="23">
        <f>'EN articles'!A121</f>
        <v>155</v>
      </c>
      <c r="B121" s="23">
        <f>'EN articles'!AL121</f>
        <v>2</v>
      </c>
      <c r="C121" s="23">
        <f>'EN articles'!AK121</f>
        <v>7</v>
      </c>
    </row>
    <row r="122" spans="1:3" x14ac:dyDescent="0.3">
      <c r="A122" s="23">
        <f>'EN articles'!A122</f>
        <v>156</v>
      </c>
      <c r="B122" s="23">
        <f>'EN articles'!AL122</f>
        <v>1</v>
      </c>
      <c r="C122" s="23">
        <f>'EN articles'!AK122</f>
        <v>4</v>
      </c>
    </row>
    <row r="123" spans="1:3" x14ac:dyDescent="0.3">
      <c r="A123" s="23">
        <f>'EN articles'!A123</f>
        <v>160</v>
      </c>
      <c r="B123" s="23">
        <f>'EN articles'!AL123</f>
        <v>2</v>
      </c>
      <c r="C123" s="23">
        <f>'EN articles'!AK123</f>
        <v>4</v>
      </c>
    </row>
    <row r="124" spans="1:3" x14ac:dyDescent="0.3">
      <c r="A124" s="23">
        <f>'EN articles'!A124</f>
        <v>161</v>
      </c>
      <c r="B124" s="23">
        <f>'EN articles'!AL124</f>
        <v>1</v>
      </c>
      <c r="C124" s="23">
        <f>'EN articles'!AK124</f>
        <v>5</v>
      </c>
    </row>
    <row r="125" spans="1:3" x14ac:dyDescent="0.3">
      <c r="A125" s="23">
        <f>'EN articles'!A125</f>
        <v>162</v>
      </c>
      <c r="B125" s="23">
        <f>'EN articles'!AL125</f>
        <v>1</v>
      </c>
      <c r="C125" s="23">
        <f>'EN articles'!AK125</f>
        <v>5</v>
      </c>
    </row>
    <row r="126" spans="1:3" x14ac:dyDescent="0.3">
      <c r="A126" s="23">
        <f>'EN articles'!A126</f>
        <v>163</v>
      </c>
      <c r="B126" s="23">
        <f>'EN articles'!AL126</f>
        <v>1</v>
      </c>
      <c r="C126" s="23">
        <f>'EN articles'!AK126</f>
        <v>4</v>
      </c>
    </row>
    <row r="127" spans="1:3" x14ac:dyDescent="0.3">
      <c r="A127" s="23">
        <f>'EN articles'!A127</f>
        <v>164</v>
      </c>
      <c r="B127" s="23">
        <f>'EN articles'!AL127</f>
        <v>2</v>
      </c>
      <c r="C127" s="23">
        <f>'EN articles'!AK127</f>
        <v>5</v>
      </c>
    </row>
    <row r="128" spans="1:3" x14ac:dyDescent="0.3">
      <c r="A128" s="23">
        <f>'EN articles'!A128</f>
        <v>165</v>
      </c>
      <c r="B128" s="23">
        <f>'EN articles'!AL128</f>
        <v>1</v>
      </c>
      <c r="C128" s="23">
        <f>'EN articles'!AK128</f>
        <v>4</v>
      </c>
    </row>
    <row r="129" spans="1:3" x14ac:dyDescent="0.3">
      <c r="A129" s="23">
        <f>'EN articles'!A129</f>
        <v>166</v>
      </c>
      <c r="B129" s="23">
        <f>'EN articles'!AL129</f>
        <v>3</v>
      </c>
      <c r="C129" s="23">
        <f>'EN articles'!AK129</f>
        <v>5</v>
      </c>
    </row>
    <row r="130" spans="1:3" x14ac:dyDescent="0.3">
      <c r="A130" s="23">
        <f>'EN articles'!A130</f>
        <v>167</v>
      </c>
      <c r="B130" s="23">
        <f>'EN articles'!AL130</f>
        <v>1</v>
      </c>
      <c r="C130" s="23">
        <f>'EN articles'!AK130</f>
        <v>4</v>
      </c>
    </row>
    <row r="131" spans="1:3" x14ac:dyDescent="0.3">
      <c r="A131" s="23">
        <f>'EN articles'!A131</f>
        <v>176</v>
      </c>
      <c r="B131" s="23">
        <f>'EN articles'!AL131</f>
        <v>1</v>
      </c>
      <c r="C131" s="23">
        <f>'EN articles'!AK131</f>
        <v>4</v>
      </c>
    </row>
    <row r="132" spans="1:3" x14ac:dyDescent="0.3">
      <c r="A132" s="23">
        <f>'EN articles'!A132</f>
        <v>181</v>
      </c>
      <c r="B132" s="23">
        <f>'EN articles'!AL132</f>
        <v>1</v>
      </c>
      <c r="C132" s="23">
        <f>'EN articles'!AK132</f>
        <v>4</v>
      </c>
    </row>
    <row r="133" spans="1:3" x14ac:dyDescent="0.3">
      <c r="A133" s="23">
        <f>'EN articles'!A133</f>
        <v>185</v>
      </c>
      <c r="B133" s="23">
        <f>'EN articles'!AL133</f>
        <v>2</v>
      </c>
      <c r="C133" s="23">
        <f>'EN articles'!AK133</f>
        <v>5</v>
      </c>
    </row>
    <row r="134" spans="1:3" x14ac:dyDescent="0.3">
      <c r="A134" s="23">
        <f>'EN articles'!A134</f>
        <v>186</v>
      </c>
      <c r="B134" s="23">
        <f>'EN articles'!AL134</f>
        <v>2</v>
      </c>
      <c r="C134" s="23">
        <f>'EN articles'!AK134</f>
        <v>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106E7-4116-43CD-8637-2BFCA97213D2}">
  <dimension ref="A1:EG36"/>
  <sheetViews>
    <sheetView zoomScale="70" zoomScaleNormal="70" workbookViewId="0">
      <pane ySplit="1" topLeftCell="A2" activePane="bottomLeft" state="frozen"/>
      <selection activeCell="C1" sqref="C1"/>
      <selection pane="bottomLeft" activeCell="D25" sqref="D25"/>
    </sheetView>
  </sheetViews>
  <sheetFormatPr defaultColWidth="8.6640625" defaultRowHeight="55.95" customHeight="1" x14ac:dyDescent="0.3"/>
  <cols>
    <col min="1" max="1" width="8.6640625" style="7"/>
    <col min="2" max="2" width="49.88671875" style="6" customWidth="1"/>
    <col min="3" max="3" width="16" style="10" customWidth="1"/>
    <col min="4" max="4" width="14.33203125" style="7" customWidth="1"/>
    <col min="5" max="5" width="18.6640625" style="13" customWidth="1"/>
    <col min="6" max="6" width="10.33203125" style="10" customWidth="1"/>
    <col min="7" max="7" width="14.33203125" style="11" customWidth="1"/>
    <col min="8" max="8" width="30.5546875" style="11" customWidth="1"/>
    <col min="9" max="9" width="22.33203125" style="15" customWidth="1"/>
    <col min="10" max="10" width="10.88671875" style="16" customWidth="1"/>
    <col min="11" max="11" width="14.33203125" style="1" customWidth="1"/>
    <col min="12" max="12" width="14.6640625" style="1" customWidth="1"/>
    <col min="13" max="13" width="17.33203125" style="1" customWidth="1"/>
    <col min="14" max="15" width="15.109375" style="1" customWidth="1"/>
    <col min="16" max="17" width="14.33203125" style="1" customWidth="1"/>
    <col min="18" max="18" width="15.5546875" style="1" customWidth="1"/>
    <col min="19" max="19" width="43.88671875" style="6" customWidth="1"/>
    <col min="20" max="20" width="23.33203125" style="6" customWidth="1"/>
    <col min="21" max="22" width="20.88671875" style="6" customWidth="1"/>
    <col min="23" max="23" width="32.5546875" style="6" customWidth="1"/>
    <col min="24" max="25" width="11.88671875" style="1" customWidth="1"/>
    <col min="26" max="26" width="13.33203125" customWidth="1"/>
    <col min="27" max="27" width="11.33203125" style="23" customWidth="1"/>
    <col min="28" max="28" width="13.33203125" style="23" customWidth="1"/>
  </cols>
  <sheetData>
    <row r="1" spans="1:137" s="2" customFormat="1" ht="55.95" customHeight="1" x14ac:dyDescent="0.3">
      <c r="A1" s="9" t="s">
        <v>909</v>
      </c>
      <c r="B1" s="8" t="s">
        <v>0</v>
      </c>
      <c r="C1" s="8" t="s">
        <v>1</v>
      </c>
      <c r="D1" s="8" t="s">
        <v>2</v>
      </c>
      <c r="E1" s="12" t="s">
        <v>69</v>
      </c>
      <c r="F1" s="8" t="s">
        <v>71</v>
      </c>
      <c r="G1" s="8" t="s">
        <v>4</v>
      </c>
      <c r="H1" s="8" t="s">
        <v>5</v>
      </c>
      <c r="I1" s="8" t="s">
        <v>74</v>
      </c>
      <c r="J1" s="8" t="s">
        <v>384</v>
      </c>
      <c r="K1" s="8" t="s">
        <v>3</v>
      </c>
      <c r="L1" s="8" t="s">
        <v>223</v>
      </c>
      <c r="M1" s="8" t="s">
        <v>220</v>
      </c>
      <c r="N1" s="8" t="s">
        <v>374</v>
      </c>
      <c r="O1" s="8" t="s">
        <v>375</v>
      </c>
      <c r="P1" s="8" t="s">
        <v>1703</v>
      </c>
      <c r="Q1" s="8" t="s">
        <v>382</v>
      </c>
      <c r="R1" s="8" t="s">
        <v>376</v>
      </c>
      <c r="S1" s="8" t="s">
        <v>373</v>
      </c>
      <c r="T1" s="8" t="s">
        <v>377</v>
      </c>
      <c r="U1" s="8" t="s">
        <v>378</v>
      </c>
      <c r="V1" s="8" t="s">
        <v>379</v>
      </c>
      <c r="W1" s="9" t="s">
        <v>221</v>
      </c>
      <c r="X1" s="8" t="s">
        <v>380</v>
      </c>
      <c r="Y1" s="8" t="s">
        <v>381</v>
      </c>
      <c r="AB1" s="22"/>
    </row>
    <row r="2" spans="1:137" ht="61.2" customHeight="1" x14ac:dyDescent="0.3">
      <c r="A2" s="7">
        <v>1</v>
      </c>
      <c r="B2" s="6" t="s">
        <v>750</v>
      </c>
      <c r="C2" s="10" t="s">
        <v>751</v>
      </c>
      <c r="D2" s="7">
        <v>2023</v>
      </c>
      <c r="E2" s="13" t="s">
        <v>752</v>
      </c>
      <c r="F2" s="7">
        <v>154</v>
      </c>
      <c r="G2" s="1" t="s">
        <v>753</v>
      </c>
      <c r="H2" s="6" t="s">
        <v>754</v>
      </c>
      <c r="I2" s="15" t="s">
        <v>755</v>
      </c>
      <c r="J2" s="1" t="str">
        <f>IF(OR(
  E2="International Journal of Production Research",
  E2="Journal of Manufacturing Technology Management",
  E2="International Journal of Production Economics",
  E2="Journal of Industrial Information Integration",
  E2="Transportation Research Part E: Logistics and Transportation Review",
  E2="Journal of Cleaner Production",
  E2="MM 2024 - Proceedings of the 32nd ACM International Conference on Multimedia",
  E2="Oeconomia Copernicana",
  E2="Technology in Society"
), "MGT", "ENG")</f>
        <v>MGT</v>
      </c>
      <c r="K2" s="1" t="s">
        <v>222</v>
      </c>
      <c r="L2" s="1" t="s">
        <v>756</v>
      </c>
      <c r="M2" s="1" t="s">
        <v>757</v>
      </c>
      <c r="N2" s="1" t="s">
        <v>758</v>
      </c>
      <c r="Q2" s="1" t="s">
        <v>759</v>
      </c>
      <c r="R2" s="1" t="s">
        <v>386</v>
      </c>
      <c r="S2" s="6" t="s">
        <v>2312</v>
      </c>
      <c r="T2" s="6" t="s">
        <v>2313</v>
      </c>
      <c r="U2" s="6" t="s">
        <v>2314</v>
      </c>
      <c r="V2" s="6" t="s">
        <v>2315</v>
      </c>
      <c r="W2" s="6" t="s">
        <v>760</v>
      </c>
      <c r="X2" s="1">
        <v>5</v>
      </c>
      <c r="Y2" s="1">
        <v>2</v>
      </c>
      <c r="AA2"/>
      <c r="AB2"/>
    </row>
    <row r="3" spans="1:137" ht="55.95" customHeight="1" x14ac:dyDescent="0.3">
      <c r="A3" s="7">
        <v>2</v>
      </c>
      <c r="B3" s="6" t="s">
        <v>761</v>
      </c>
      <c r="C3" s="10" t="s">
        <v>762</v>
      </c>
      <c r="D3" s="7">
        <v>2023</v>
      </c>
      <c r="E3" s="13" t="s">
        <v>763</v>
      </c>
      <c r="F3" s="7">
        <v>62</v>
      </c>
      <c r="G3" s="1" t="s">
        <v>764</v>
      </c>
      <c r="H3" s="6" t="s">
        <v>347</v>
      </c>
      <c r="I3" s="15" t="s">
        <v>765</v>
      </c>
      <c r="J3" s="1" t="s">
        <v>371</v>
      </c>
      <c r="K3" s="1" t="s">
        <v>222</v>
      </c>
      <c r="L3" s="1" t="s">
        <v>766</v>
      </c>
      <c r="M3" s="1" t="s">
        <v>767</v>
      </c>
      <c r="N3" s="1" t="s">
        <v>224</v>
      </c>
      <c r="O3" s="1" t="s">
        <v>385</v>
      </c>
      <c r="Q3" s="1" t="s">
        <v>768</v>
      </c>
      <c r="R3" s="1" t="s">
        <v>769</v>
      </c>
      <c r="S3" s="6" t="s">
        <v>2316</v>
      </c>
      <c r="T3" s="6" t="s">
        <v>2317</v>
      </c>
      <c r="U3" s="6" t="s">
        <v>2318</v>
      </c>
      <c r="V3" s="6" t="s">
        <v>2319</v>
      </c>
      <c r="W3" s="6" t="s">
        <v>770</v>
      </c>
      <c r="X3" s="1">
        <v>5</v>
      </c>
      <c r="Y3" s="1">
        <v>5</v>
      </c>
      <c r="AA3"/>
      <c r="AB3"/>
    </row>
    <row r="4" spans="1:137" ht="55.95" customHeight="1" x14ac:dyDescent="0.3">
      <c r="A4" s="7">
        <v>3</v>
      </c>
      <c r="B4" s="6" t="s">
        <v>771</v>
      </c>
      <c r="C4" s="10" t="s">
        <v>772</v>
      </c>
      <c r="D4" s="7">
        <v>2023</v>
      </c>
      <c r="E4" s="13" t="s">
        <v>65</v>
      </c>
      <c r="F4" s="7">
        <v>29</v>
      </c>
      <c r="G4" s="1" t="s">
        <v>129</v>
      </c>
      <c r="H4" s="6" t="s">
        <v>773</v>
      </c>
      <c r="I4" s="15" t="s">
        <v>774</v>
      </c>
      <c r="J4" s="1" t="str">
        <f t="shared" ref="J4:J15" si="0">IF(OR(
  E4="International Journal of Production Research",
  E4="Journal of Manufacturing Technology Management",
  E4="International Journal of Production Economics",
  E4="Journal of Industrial Information Integration",
  E4="Transportation Research Part E: Logistics and Transportation Review",
  E4="Journal of Cleaner Production",
  E4="MM 2024 - Proceedings of the 32nd ACM International Conference on Multimedia",
  E4="Oeconomia Copernicana",
  E4="Technology in Society"
), "MGT", "ENG")</f>
        <v>MGT</v>
      </c>
      <c r="K4" s="1" t="s">
        <v>775</v>
      </c>
      <c r="L4" s="1" t="s">
        <v>776</v>
      </c>
      <c r="M4" s="1" t="s">
        <v>777</v>
      </c>
      <c r="N4" s="1" t="s">
        <v>383</v>
      </c>
      <c r="Q4" s="1" t="s">
        <v>778</v>
      </c>
      <c r="R4" s="1" t="s">
        <v>779</v>
      </c>
      <c r="S4" s="6" t="s">
        <v>2320</v>
      </c>
      <c r="T4" s="6" t="s">
        <v>2321</v>
      </c>
      <c r="U4" s="6" t="s">
        <v>2322</v>
      </c>
      <c r="V4" s="6" t="s">
        <v>2323</v>
      </c>
      <c r="W4" s="6" t="s">
        <v>780</v>
      </c>
      <c r="X4" s="1">
        <v>1</v>
      </c>
      <c r="Y4" s="1">
        <v>4</v>
      </c>
      <c r="AA4"/>
      <c r="AB4"/>
    </row>
    <row r="5" spans="1:137" ht="55.95" customHeight="1" x14ac:dyDescent="0.3">
      <c r="A5" s="7">
        <v>4</v>
      </c>
      <c r="B5" s="6" t="s">
        <v>781</v>
      </c>
      <c r="C5" s="10" t="s">
        <v>782</v>
      </c>
      <c r="D5" s="7">
        <v>2024</v>
      </c>
      <c r="E5" s="13" t="s">
        <v>60</v>
      </c>
      <c r="F5" s="7">
        <v>97</v>
      </c>
      <c r="G5" s="1" t="s">
        <v>325</v>
      </c>
      <c r="H5" s="6" t="s">
        <v>343</v>
      </c>
      <c r="I5" s="15" t="s">
        <v>783</v>
      </c>
      <c r="J5" s="1" t="str">
        <f t="shared" si="0"/>
        <v>MGT</v>
      </c>
      <c r="K5" s="1" t="s">
        <v>775</v>
      </c>
      <c r="L5" s="1" t="s">
        <v>784</v>
      </c>
      <c r="M5" s="1" t="s">
        <v>785</v>
      </c>
      <c r="N5" s="1" t="s">
        <v>758</v>
      </c>
      <c r="Q5" s="1" t="s">
        <v>786</v>
      </c>
      <c r="S5" s="6" t="s">
        <v>2324</v>
      </c>
      <c r="T5" s="6" t="s">
        <v>2325</v>
      </c>
      <c r="W5" s="6" t="s">
        <v>787</v>
      </c>
      <c r="X5" s="1">
        <v>5</v>
      </c>
      <c r="Y5" s="1">
        <v>4</v>
      </c>
      <c r="AA5"/>
      <c r="AB5"/>
    </row>
    <row r="6" spans="1:137" ht="55.95" customHeight="1" x14ac:dyDescent="0.3">
      <c r="A6" s="7">
        <v>5</v>
      </c>
      <c r="B6" s="6" t="s">
        <v>788</v>
      </c>
      <c r="C6" s="10" t="s">
        <v>789</v>
      </c>
      <c r="D6" s="7">
        <v>2024</v>
      </c>
      <c r="E6" s="13" t="s">
        <v>60</v>
      </c>
      <c r="F6" s="7">
        <v>65</v>
      </c>
      <c r="G6" s="1" t="s">
        <v>753</v>
      </c>
      <c r="H6" s="6" t="s">
        <v>754</v>
      </c>
      <c r="I6" s="15" t="s">
        <v>790</v>
      </c>
      <c r="J6" s="1" t="str">
        <f t="shared" si="0"/>
        <v>MGT</v>
      </c>
      <c r="K6" s="1" t="s">
        <v>222</v>
      </c>
      <c r="L6" s="1" t="s">
        <v>791</v>
      </c>
      <c r="M6" s="1" t="s">
        <v>757</v>
      </c>
      <c r="N6" s="1" t="s">
        <v>758</v>
      </c>
      <c r="P6" s="1" t="s">
        <v>792</v>
      </c>
      <c r="Q6" s="1" t="s">
        <v>793</v>
      </c>
      <c r="R6" s="1" t="s">
        <v>386</v>
      </c>
      <c r="S6" s="6" t="s">
        <v>2326</v>
      </c>
      <c r="T6" s="6" t="s">
        <v>2327</v>
      </c>
      <c r="V6" s="6" t="s">
        <v>2328</v>
      </c>
      <c r="W6" s="6" t="s">
        <v>794</v>
      </c>
      <c r="X6" s="1">
        <v>5</v>
      </c>
      <c r="Y6" s="1">
        <v>5</v>
      </c>
      <c r="AA6"/>
      <c r="AB6"/>
    </row>
    <row r="7" spans="1:137" ht="55.95" customHeight="1" x14ac:dyDescent="0.3">
      <c r="A7" s="7">
        <v>6</v>
      </c>
      <c r="B7" s="6" t="s">
        <v>795</v>
      </c>
      <c r="C7" s="10" t="s">
        <v>796</v>
      </c>
      <c r="D7" s="7">
        <v>2024</v>
      </c>
      <c r="E7" s="13" t="s">
        <v>797</v>
      </c>
      <c r="F7" s="7">
        <v>35</v>
      </c>
      <c r="G7" s="1" t="s">
        <v>798</v>
      </c>
      <c r="H7" s="6" t="s">
        <v>799</v>
      </c>
      <c r="I7" s="15" t="s">
        <v>800</v>
      </c>
      <c r="J7" s="1" t="str">
        <f t="shared" si="0"/>
        <v>MGT</v>
      </c>
      <c r="K7" s="1" t="s">
        <v>222</v>
      </c>
      <c r="L7" s="1" t="s">
        <v>801</v>
      </c>
      <c r="M7" s="1" t="s">
        <v>802</v>
      </c>
      <c r="N7" s="1" t="s">
        <v>383</v>
      </c>
      <c r="Q7" s="1" t="s">
        <v>803</v>
      </c>
      <c r="S7" s="6" t="s">
        <v>2329</v>
      </c>
      <c r="T7" s="6" t="s">
        <v>2330</v>
      </c>
      <c r="U7" s="6" t="s">
        <v>2331</v>
      </c>
      <c r="V7" s="6" t="s">
        <v>2332</v>
      </c>
      <c r="W7" s="6" t="s">
        <v>804</v>
      </c>
      <c r="X7" s="1">
        <v>5</v>
      </c>
      <c r="Y7" s="1">
        <v>3</v>
      </c>
      <c r="AA7"/>
      <c r="AB7"/>
    </row>
    <row r="8" spans="1:137" ht="55.95" customHeight="1" x14ac:dyDescent="0.3">
      <c r="A8" s="7">
        <v>7</v>
      </c>
      <c r="B8" s="6" t="s">
        <v>805</v>
      </c>
      <c r="C8" s="10" t="s">
        <v>806</v>
      </c>
      <c r="D8" s="7">
        <v>2024</v>
      </c>
      <c r="E8" s="13" t="s">
        <v>752</v>
      </c>
      <c r="F8" s="7">
        <v>34</v>
      </c>
      <c r="G8" s="1" t="s">
        <v>807</v>
      </c>
      <c r="H8" s="6" t="s">
        <v>808</v>
      </c>
      <c r="I8" s="15" t="s">
        <v>809</v>
      </c>
      <c r="J8" s="1" t="str">
        <f t="shared" si="0"/>
        <v>MGT</v>
      </c>
      <c r="K8" s="1" t="s">
        <v>222</v>
      </c>
      <c r="L8" s="1" t="s">
        <v>810</v>
      </c>
      <c r="M8" s="1" t="s">
        <v>757</v>
      </c>
      <c r="N8" s="1" t="s">
        <v>811</v>
      </c>
      <c r="O8" s="1" t="s">
        <v>812</v>
      </c>
      <c r="P8" s="1" t="s">
        <v>398</v>
      </c>
      <c r="S8" s="6" t="s">
        <v>2333</v>
      </c>
      <c r="T8" s="6" t="s">
        <v>2334</v>
      </c>
      <c r="W8" s="6" t="s">
        <v>813</v>
      </c>
      <c r="X8" s="1">
        <v>4</v>
      </c>
      <c r="Y8" s="1">
        <v>4</v>
      </c>
      <c r="AA8"/>
      <c r="AB8"/>
    </row>
    <row r="9" spans="1:137" s="11" customFormat="1" ht="55.95" customHeight="1" x14ac:dyDescent="0.3">
      <c r="A9" s="7">
        <v>8</v>
      </c>
      <c r="B9" s="6" t="s">
        <v>814</v>
      </c>
      <c r="C9" s="10" t="s">
        <v>815</v>
      </c>
      <c r="D9" s="7">
        <v>2024</v>
      </c>
      <c r="E9" s="13" t="s">
        <v>816</v>
      </c>
      <c r="F9" s="7">
        <v>22</v>
      </c>
      <c r="G9" s="1" t="s">
        <v>817</v>
      </c>
      <c r="H9" s="6" t="s">
        <v>818</v>
      </c>
      <c r="I9" s="15" t="s">
        <v>819</v>
      </c>
      <c r="J9" s="1" t="str">
        <f t="shared" si="0"/>
        <v>MGT</v>
      </c>
      <c r="K9" s="1" t="s">
        <v>775</v>
      </c>
      <c r="L9" s="1" t="s">
        <v>784</v>
      </c>
      <c r="M9" s="1" t="s">
        <v>757</v>
      </c>
      <c r="N9" s="1" t="s">
        <v>758</v>
      </c>
      <c r="O9" s="1"/>
      <c r="P9" s="1"/>
      <c r="Q9" s="1" t="s">
        <v>820</v>
      </c>
      <c r="R9" s="1"/>
      <c r="S9" s="6" t="s">
        <v>2335</v>
      </c>
      <c r="T9" s="6" t="s">
        <v>2336</v>
      </c>
      <c r="U9" s="6" t="s">
        <v>2337</v>
      </c>
      <c r="V9" s="6" t="s">
        <v>2338</v>
      </c>
      <c r="W9" s="6" t="s">
        <v>821</v>
      </c>
      <c r="X9" s="1">
        <v>5</v>
      </c>
      <c r="Y9" s="1">
        <v>3</v>
      </c>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c r="CO9" s="20"/>
      <c r="CP9" s="20"/>
      <c r="CQ9" s="20"/>
      <c r="CR9" s="20"/>
      <c r="CS9" s="20"/>
      <c r="CT9" s="20"/>
      <c r="CU9" s="20"/>
      <c r="CV9" s="20"/>
      <c r="CW9" s="20"/>
      <c r="CX9" s="20"/>
      <c r="CY9" s="20"/>
      <c r="CZ9" s="20"/>
      <c r="DA9" s="20"/>
      <c r="DB9" s="20"/>
      <c r="DC9" s="20"/>
      <c r="DD9" s="20"/>
      <c r="DE9" s="20"/>
      <c r="DF9" s="20"/>
      <c r="DG9" s="20"/>
      <c r="DH9" s="20"/>
      <c r="DI9" s="20"/>
      <c r="DJ9" s="20"/>
      <c r="DK9" s="20"/>
      <c r="DL9" s="20"/>
      <c r="DM9" s="20"/>
      <c r="DN9" s="20"/>
      <c r="DO9" s="20"/>
      <c r="DP9" s="20"/>
      <c r="DQ9" s="20"/>
      <c r="DR9" s="20"/>
      <c r="DS9" s="20"/>
      <c r="DT9" s="20"/>
      <c r="DU9" s="20"/>
      <c r="DV9" s="20"/>
      <c r="DW9" s="20"/>
      <c r="DX9" s="20"/>
      <c r="DY9" s="20"/>
      <c r="DZ9" s="20"/>
      <c r="EA9" s="20"/>
      <c r="EB9" s="20"/>
      <c r="EC9" s="20"/>
      <c r="ED9" s="20"/>
      <c r="EE9" s="20"/>
      <c r="EF9" s="20"/>
      <c r="EG9" s="20"/>
    </row>
    <row r="10" spans="1:137" s="11" customFormat="1" ht="55.95" customHeight="1" x14ac:dyDescent="0.3">
      <c r="A10" s="7">
        <v>9</v>
      </c>
      <c r="B10" s="6" t="s">
        <v>822</v>
      </c>
      <c r="C10" s="10" t="s">
        <v>823</v>
      </c>
      <c r="D10" s="7">
        <v>2024</v>
      </c>
      <c r="E10" s="13" t="s">
        <v>816</v>
      </c>
      <c r="F10" s="7">
        <v>21</v>
      </c>
      <c r="G10" s="1" t="s">
        <v>824</v>
      </c>
      <c r="H10" s="6" t="s">
        <v>825</v>
      </c>
      <c r="I10" s="15" t="s">
        <v>826</v>
      </c>
      <c r="J10" s="1" t="str">
        <f t="shared" si="0"/>
        <v>MGT</v>
      </c>
      <c r="K10" s="1" t="s">
        <v>222</v>
      </c>
      <c r="L10" s="1" t="s">
        <v>810</v>
      </c>
      <c r="M10" s="1" t="s">
        <v>757</v>
      </c>
      <c r="N10" s="1" t="s">
        <v>387</v>
      </c>
      <c r="O10" s="1"/>
      <c r="P10" s="1"/>
      <c r="Q10" s="1" t="s">
        <v>827</v>
      </c>
      <c r="R10" s="1"/>
      <c r="S10" s="6" t="s">
        <v>2339</v>
      </c>
      <c r="T10" s="6" t="s">
        <v>2340</v>
      </c>
      <c r="U10" s="6"/>
      <c r="V10" s="6"/>
      <c r="W10" s="6" t="s">
        <v>828</v>
      </c>
      <c r="X10" s="1">
        <v>5</v>
      </c>
      <c r="Y10" s="1">
        <v>3</v>
      </c>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c r="BN10" s="20"/>
      <c r="BO10" s="20"/>
      <c r="BP10" s="20"/>
      <c r="BQ10" s="20"/>
      <c r="BR10" s="20"/>
      <c r="BS10" s="20"/>
      <c r="BT10" s="20"/>
      <c r="BU10" s="20"/>
      <c r="BV10" s="20"/>
      <c r="BW10" s="20"/>
      <c r="BX10" s="20"/>
      <c r="BY10" s="20"/>
      <c r="BZ10" s="20"/>
      <c r="CA10" s="20"/>
      <c r="CB10" s="20"/>
      <c r="CC10" s="20"/>
      <c r="CD10" s="20"/>
      <c r="CE10" s="20"/>
      <c r="CF10" s="20"/>
      <c r="CG10" s="20"/>
      <c r="CH10" s="20"/>
      <c r="CI10" s="20"/>
      <c r="CJ10" s="20"/>
      <c r="CK10" s="20"/>
      <c r="CL10" s="20"/>
      <c r="CM10" s="20"/>
      <c r="CN10" s="20"/>
      <c r="CO10" s="20"/>
      <c r="CP10" s="20"/>
      <c r="CQ10" s="20"/>
      <c r="CR10" s="20"/>
      <c r="CS10" s="20"/>
      <c r="CT10" s="20"/>
      <c r="CU10" s="20"/>
      <c r="CV10" s="20"/>
      <c r="CW10" s="20"/>
      <c r="CX10" s="20"/>
      <c r="CY10" s="20"/>
      <c r="CZ10" s="20"/>
      <c r="DA10" s="20"/>
      <c r="DB10" s="20"/>
      <c r="DC10" s="20"/>
      <c r="DD10" s="20"/>
      <c r="DE10" s="20"/>
      <c r="DF10" s="20"/>
      <c r="DG10" s="20"/>
      <c r="DH10" s="20"/>
      <c r="DI10" s="20"/>
      <c r="DJ10" s="20"/>
      <c r="DK10" s="20"/>
      <c r="DL10" s="20"/>
      <c r="DM10" s="20"/>
      <c r="DN10" s="20"/>
      <c r="DO10" s="20"/>
      <c r="DP10" s="20"/>
      <c r="DQ10" s="20"/>
      <c r="DR10" s="20"/>
      <c r="DS10" s="20"/>
      <c r="DT10" s="20"/>
      <c r="DU10" s="20"/>
      <c r="DV10" s="20"/>
      <c r="DW10" s="20"/>
      <c r="DX10" s="20"/>
      <c r="DY10" s="20"/>
      <c r="DZ10" s="20"/>
      <c r="EA10" s="20"/>
      <c r="EB10" s="20"/>
      <c r="EC10" s="20"/>
      <c r="ED10" s="20"/>
      <c r="EE10" s="20"/>
      <c r="EF10" s="20"/>
      <c r="EG10" s="20"/>
    </row>
    <row r="11" spans="1:137" s="11" customFormat="1" ht="55.95" customHeight="1" x14ac:dyDescent="0.3">
      <c r="A11" s="7">
        <v>10</v>
      </c>
      <c r="B11" s="6" t="s">
        <v>829</v>
      </c>
      <c r="C11" s="10" t="s">
        <v>830</v>
      </c>
      <c r="D11" s="7">
        <v>2024</v>
      </c>
      <c r="E11" s="13" t="s">
        <v>831</v>
      </c>
      <c r="F11" s="7">
        <v>15</v>
      </c>
      <c r="G11" s="1" t="s">
        <v>832</v>
      </c>
      <c r="H11" s="6" t="s">
        <v>833</v>
      </c>
      <c r="I11" s="15" t="s">
        <v>834</v>
      </c>
      <c r="J11" s="1" t="str">
        <f t="shared" si="0"/>
        <v>MGT</v>
      </c>
      <c r="K11" s="1" t="s">
        <v>222</v>
      </c>
      <c r="L11" s="1" t="s">
        <v>810</v>
      </c>
      <c r="M11" s="1" t="s">
        <v>757</v>
      </c>
      <c r="N11" s="1" t="s">
        <v>387</v>
      </c>
      <c r="O11" s="1"/>
      <c r="P11" s="1"/>
      <c r="Q11" s="1" t="s">
        <v>835</v>
      </c>
      <c r="R11" s="1"/>
      <c r="S11" s="6" t="s">
        <v>2341</v>
      </c>
      <c r="T11" s="6" t="s">
        <v>2342</v>
      </c>
      <c r="U11" s="6"/>
      <c r="V11" s="6"/>
      <c r="W11" s="6" t="s">
        <v>836</v>
      </c>
      <c r="X11" s="1">
        <v>5</v>
      </c>
      <c r="Y11" s="1">
        <v>3</v>
      </c>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c r="BN11" s="20"/>
      <c r="BO11" s="20"/>
      <c r="BP11" s="20"/>
      <c r="BQ11" s="20"/>
      <c r="BR11" s="20"/>
      <c r="BS11" s="20"/>
      <c r="BT11" s="20"/>
      <c r="BU11" s="20"/>
      <c r="BV11" s="20"/>
      <c r="BW11" s="20"/>
      <c r="BX11" s="20"/>
      <c r="BY11" s="20"/>
      <c r="BZ11" s="20"/>
      <c r="CA11" s="20"/>
      <c r="CB11" s="20"/>
      <c r="CC11" s="20"/>
      <c r="CD11" s="20"/>
      <c r="CE11" s="20"/>
      <c r="CF11" s="20"/>
      <c r="CG11" s="20"/>
      <c r="CH11" s="20"/>
      <c r="CI11" s="20"/>
      <c r="CJ11" s="20"/>
      <c r="CK11" s="20"/>
      <c r="CL11" s="20"/>
      <c r="CM11" s="20"/>
      <c r="CN11" s="20"/>
      <c r="CO11" s="20"/>
      <c r="CP11" s="20"/>
      <c r="CQ11" s="20"/>
      <c r="CR11" s="20"/>
      <c r="CS11" s="20"/>
      <c r="CT11" s="20"/>
      <c r="CU11" s="20"/>
      <c r="CV11" s="20"/>
      <c r="CW11" s="20"/>
      <c r="CX11" s="20"/>
      <c r="CY11" s="20"/>
      <c r="CZ11" s="20"/>
      <c r="DA11" s="20"/>
      <c r="DB11" s="20"/>
      <c r="DC11" s="20"/>
      <c r="DD11" s="20"/>
      <c r="DE11" s="20"/>
      <c r="DF11" s="20"/>
      <c r="DG11" s="20"/>
      <c r="DH11" s="20"/>
      <c r="DI11" s="20"/>
      <c r="DJ11" s="20"/>
      <c r="DK11" s="20"/>
      <c r="DL11" s="20"/>
      <c r="DM11" s="20"/>
      <c r="DN11" s="20"/>
      <c r="DO11" s="20"/>
      <c r="DP11" s="20"/>
      <c r="DQ11" s="20"/>
      <c r="DR11" s="20"/>
      <c r="DS11" s="20"/>
      <c r="DT11" s="20"/>
      <c r="DU11" s="20"/>
      <c r="DV11" s="20"/>
      <c r="DW11" s="20"/>
      <c r="DX11" s="20"/>
      <c r="DY11" s="20"/>
      <c r="DZ11" s="20"/>
      <c r="EA11" s="20"/>
      <c r="EB11" s="20"/>
      <c r="EC11" s="20"/>
      <c r="ED11" s="20"/>
      <c r="EE11" s="20"/>
      <c r="EF11" s="20"/>
      <c r="EG11" s="20"/>
    </row>
    <row r="12" spans="1:137" s="11" customFormat="1" ht="55.95" customHeight="1" x14ac:dyDescent="0.3">
      <c r="A12" s="7">
        <v>11</v>
      </c>
      <c r="B12" s="6" t="s">
        <v>837</v>
      </c>
      <c r="C12" s="10" t="s">
        <v>838</v>
      </c>
      <c r="D12" s="7">
        <v>2024</v>
      </c>
      <c r="E12" s="13" t="s">
        <v>752</v>
      </c>
      <c r="F12" s="7">
        <v>11</v>
      </c>
      <c r="G12" s="1" t="s">
        <v>824</v>
      </c>
      <c r="H12" s="6" t="s">
        <v>825</v>
      </c>
      <c r="I12" s="15" t="s">
        <v>839</v>
      </c>
      <c r="J12" s="1" t="str">
        <f t="shared" si="0"/>
        <v>MGT</v>
      </c>
      <c r="K12" s="1" t="s">
        <v>222</v>
      </c>
      <c r="L12" s="1" t="s">
        <v>810</v>
      </c>
      <c r="M12" s="1" t="s">
        <v>757</v>
      </c>
      <c r="N12" s="1" t="s">
        <v>387</v>
      </c>
      <c r="O12" s="1"/>
      <c r="P12" s="1"/>
      <c r="Q12" s="1" t="s">
        <v>840</v>
      </c>
      <c r="R12" s="1"/>
      <c r="S12" s="6" t="s">
        <v>2343</v>
      </c>
      <c r="T12" s="6" t="s">
        <v>2344</v>
      </c>
      <c r="U12" s="6"/>
      <c r="V12" s="6"/>
      <c r="X12" s="1">
        <v>5</v>
      </c>
      <c r="Y12" s="1">
        <v>4</v>
      </c>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c r="BN12" s="20"/>
      <c r="BO12" s="20"/>
      <c r="BP12" s="20"/>
      <c r="BQ12" s="20"/>
      <c r="BR12" s="20"/>
      <c r="BS12" s="20"/>
      <c r="BT12" s="20"/>
      <c r="BU12" s="20"/>
      <c r="BV12" s="20"/>
      <c r="BW12" s="20"/>
      <c r="BX12" s="20"/>
      <c r="BY12" s="20"/>
      <c r="BZ12" s="20"/>
      <c r="CA12" s="20"/>
      <c r="CB12" s="20"/>
      <c r="CC12" s="20"/>
      <c r="CD12" s="20"/>
      <c r="CE12" s="20"/>
      <c r="CF12" s="20"/>
      <c r="CG12" s="20"/>
      <c r="CH12" s="20"/>
      <c r="CI12" s="20"/>
      <c r="CJ12" s="20"/>
      <c r="CK12" s="20"/>
      <c r="CL12" s="20"/>
      <c r="CM12" s="20"/>
      <c r="CN12" s="20"/>
      <c r="CO12" s="20"/>
      <c r="CP12" s="20"/>
      <c r="CQ12" s="20"/>
      <c r="CR12" s="20"/>
      <c r="CS12" s="20"/>
      <c r="CT12" s="20"/>
      <c r="CU12" s="20"/>
      <c r="CV12" s="20"/>
      <c r="CW12" s="20"/>
      <c r="CX12" s="20"/>
      <c r="CY12" s="20"/>
      <c r="CZ12" s="20"/>
      <c r="DA12" s="20"/>
      <c r="DB12" s="20"/>
      <c r="DC12" s="20"/>
      <c r="DD12" s="20"/>
      <c r="DE12" s="20"/>
      <c r="DF12" s="20"/>
      <c r="DG12" s="20"/>
      <c r="DH12" s="20"/>
      <c r="DI12" s="20"/>
      <c r="DJ12" s="20"/>
      <c r="DK12" s="20"/>
      <c r="DL12" s="20"/>
      <c r="DM12" s="20"/>
      <c r="DN12" s="20"/>
      <c r="DO12" s="20"/>
      <c r="DP12" s="20"/>
      <c r="DQ12" s="20"/>
      <c r="DR12" s="20"/>
      <c r="DS12" s="20"/>
      <c r="DT12" s="20"/>
      <c r="DU12" s="20"/>
      <c r="DV12" s="20"/>
      <c r="DW12" s="20"/>
      <c r="DX12" s="20"/>
      <c r="DY12" s="20"/>
      <c r="DZ12" s="20"/>
      <c r="EA12" s="20"/>
      <c r="EB12" s="20"/>
      <c r="EC12" s="20"/>
      <c r="ED12" s="20"/>
      <c r="EE12" s="20"/>
      <c r="EF12" s="20"/>
      <c r="EG12" s="20"/>
    </row>
    <row r="13" spans="1:137" s="11" customFormat="1" ht="55.95" customHeight="1" x14ac:dyDescent="0.3">
      <c r="A13" s="7">
        <v>12</v>
      </c>
      <c r="B13" s="6" t="s">
        <v>841</v>
      </c>
      <c r="C13" s="10" t="s">
        <v>842</v>
      </c>
      <c r="D13" s="7">
        <v>2024</v>
      </c>
      <c r="E13" s="13" t="s">
        <v>797</v>
      </c>
      <c r="F13" s="7">
        <v>7</v>
      </c>
      <c r="G13" s="1" t="s">
        <v>842</v>
      </c>
      <c r="H13" s="6" t="s">
        <v>843</v>
      </c>
      <c r="I13" s="15" t="s">
        <v>844</v>
      </c>
      <c r="J13" s="1" t="str">
        <f t="shared" si="0"/>
        <v>MGT</v>
      </c>
      <c r="K13" s="1" t="s">
        <v>222</v>
      </c>
      <c r="L13" s="1" t="s">
        <v>756</v>
      </c>
      <c r="M13" s="1" t="s">
        <v>414</v>
      </c>
      <c r="N13" s="1" t="s">
        <v>387</v>
      </c>
      <c r="O13" s="1"/>
      <c r="P13" s="1"/>
      <c r="Q13" s="1"/>
      <c r="R13" s="1" t="s">
        <v>386</v>
      </c>
      <c r="S13" s="6" t="s">
        <v>2345</v>
      </c>
      <c r="T13" s="6" t="s">
        <v>2346</v>
      </c>
      <c r="U13" s="6"/>
      <c r="V13" s="6" t="s">
        <v>2347</v>
      </c>
      <c r="W13" s="6" t="s">
        <v>845</v>
      </c>
      <c r="X13" s="1">
        <v>5</v>
      </c>
      <c r="Y13" s="1">
        <v>2</v>
      </c>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c r="BN13" s="20"/>
      <c r="BO13" s="20"/>
      <c r="BP13" s="20"/>
      <c r="BQ13" s="20"/>
      <c r="BR13" s="20"/>
      <c r="BS13" s="20"/>
      <c r="BT13" s="20"/>
      <c r="BU13" s="20"/>
      <c r="BV13" s="20"/>
      <c r="BW13" s="20"/>
      <c r="BX13" s="20"/>
      <c r="BY13" s="20"/>
      <c r="BZ13" s="20"/>
      <c r="CA13" s="20"/>
      <c r="CB13" s="20"/>
      <c r="CC13" s="20"/>
      <c r="CD13" s="20"/>
      <c r="CE13" s="20"/>
      <c r="CF13" s="20"/>
      <c r="CG13" s="20"/>
      <c r="CH13" s="20"/>
      <c r="CI13" s="20"/>
      <c r="CJ13" s="20"/>
      <c r="CK13" s="20"/>
      <c r="CL13" s="20"/>
      <c r="CM13" s="20"/>
      <c r="CN13" s="20"/>
      <c r="CO13" s="20"/>
      <c r="CP13" s="20"/>
      <c r="CQ13" s="20"/>
      <c r="CR13" s="20"/>
      <c r="CS13" s="20"/>
      <c r="CT13" s="20"/>
      <c r="CU13" s="20"/>
      <c r="CV13" s="20"/>
      <c r="CW13" s="20"/>
      <c r="CX13" s="20"/>
      <c r="CY13" s="20"/>
      <c r="CZ13" s="20"/>
      <c r="DA13" s="20"/>
      <c r="DB13" s="20"/>
      <c r="DC13" s="20"/>
      <c r="DD13" s="20"/>
      <c r="DE13" s="20"/>
      <c r="DF13" s="20"/>
      <c r="DG13" s="20"/>
      <c r="DH13" s="20"/>
      <c r="DI13" s="20"/>
      <c r="DJ13" s="20"/>
      <c r="DK13" s="20"/>
      <c r="DL13" s="20"/>
      <c r="DM13" s="20"/>
      <c r="DN13" s="20"/>
      <c r="DO13" s="20"/>
      <c r="DP13" s="20"/>
      <c r="DQ13" s="20"/>
      <c r="DR13" s="20"/>
      <c r="DS13" s="20"/>
      <c r="DT13" s="20"/>
      <c r="DU13" s="20"/>
      <c r="DV13" s="20"/>
      <c r="DW13" s="20"/>
      <c r="DX13" s="20"/>
      <c r="DY13" s="20"/>
      <c r="DZ13" s="20"/>
      <c r="EA13" s="20"/>
      <c r="EB13" s="20"/>
      <c r="EC13" s="20"/>
      <c r="ED13" s="20"/>
      <c r="EE13" s="20"/>
      <c r="EF13" s="20"/>
      <c r="EG13" s="20"/>
    </row>
    <row r="14" spans="1:137" ht="55.95" customHeight="1" x14ac:dyDescent="0.3">
      <c r="A14" s="7">
        <v>13</v>
      </c>
      <c r="B14" s="6" t="s">
        <v>846</v>
      </c>
      <c r="C14" s="10" t="s">
        <v>847</v>
      </c>
      <c r="D14" s="7">
        <v>2025</v>
      </c>
      <c r="E14" s="13" t="s">
        <v>797</v>
      </c>
      <c r="F14" s="7">
        <v>5</v>
      </c>
      <c r="G14" s="1" t="s">
        <v>848</v>
      </c>
      <c r="H14" s="6" t="s">
        <v>849</v>
      </c>
      <c r="I14" s="15" t="s">
        <v>850</v>
      </c>
      <c r="J14" s="1" t="str">
        <f t="shared" si="0"/>
        <v>MGT</v>
      </c>
      <c r="K14" s="1" t="s">
        <v>222</v>
      </c>
      <c r="L14" s="1" t="s">
        <v>810</v>
      </c>
      <c r="M14" s="1" t="s">
        <v>757</v>
      </c>
      <c r="N14" s="1" t="s">
        <v>383</v>
      </c>
      <c r="Q14" s="1" t="s">
        <v>851</v>
      </c>
      <c r="S14" s="6" t="s">
        <v>2348</v>
      </c>
      <c r="T14" s="6" t="s">
        <v>2349</v>
      </c>
      <c r="U14" s="6" t="s">
        <v>2350</v>
      </c>
      <c r="V14" s="6" t="s">
        <v>2351</v>
      </c>
      <c r="W14" s="6" t="s">
        <v>852</v>
      </c>
      <c r="X14" s="1">
        <v>5</v>
      </c>
      <c r="Y14" s="1">
        <v>3</v>
      </c>
      <c r="AA14"/>
      <c r="AB14"/>
    </row>
    <row r="15" spans="1:137" s="11" customFormat="1" ht="55.95" customHeight="1" x14ac:dyDescent="0.3">
      <c r="A15" s="7">
        <v>14</v>
      </c>
      <c r="B15" s="6" t="s">
        <v>853</v>
      </c>
      <c r="C15" s="10" t="s">
        <v>854</v>
      </c>
      <c r="D15" s="7">
        <v>2025</v>
      </c>
      <c r="E15" s="13" t="s">
        <v>60</v>
      </c>
      <c r="F15" s="7">
        <v>4</v>
      </c>
      <c r="G15" s="1" t="s">
        <v>855</v>
      </c>
      <c r="H15" s="6" t="s">
        <v>856</v>
      </c>
      <c r="I15" s="15" t="s">
        <v>857</v>
      </c>
      <c r="J15" s="1" t="str">
        <f t="shared" si="0"/>
        <v>MGT</v>
      </c>
      <c r="K15" s="1" t="s">
        <v>222</v>
      </c>
      <c r="L15" s="1" t="s">
        <v>810</v>
      </c>
      <c r="M15" s="1" t="s">
        <v>757</v>
      </c>
      <c r="N15" s="1" t="s">
        <v>383</v>
      </c>
      <c r="O15" s="1"/>
      <c r="P15" s="1"/>
      <c r="Q15" s="1" t="s">
        <v>858</v>
      </c>
      <c r="R15" s="1"/>
      <c r="S15" s="6" t="s">
        <v>2352</v>
      </c>
      <c r="T15" s="6" t="s">
        <v>2353</v>
      </c>
      <c r="U15" s="6" t="s">
        <v>2354</v>
      </c>
      <c r="V15" s="6"/>
      <c r="W15" s="6" t="s">
        <v>859</v>
      </c>
      <c r="X15" s="1">
        <v>5</v>
      </c>
      <c r="Y15" s="1">
        <v>3</v>
      </c>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c r="BG15" s="20"/>
      <c r="BH15" s="20"/>
      <c r="BI15" s="20"/>
      <c r="BJ15" s="20"/>
      <c r="BK15" s="20"/>
      <c r="BL15" s="20"/>
      <c r="BM15" s="20"/>
      <c r="BN15" s="20"/>
      <c r="BO15" s="20"/>
      <c r="BP15" s="20"/>
      <c r="BQ15" s="20"/>
      <c r="BR15" s="20"/>
      <c r="BS15" s="20"/>
      <c r="BT15" s="20"/>
      <c r="BU15" s="20"/>
      <c r="BV15" s="20"/>
      <c r="BW15" s="20"/>
      <c r="BX15" s="20"/>
      <c r="BY15" s="20"/>
      <c r="BZ15" s="20"/>
      <c r="CA15" s="20"/>
      <c r="CB15" s="20"/>
      <c r="CC15" s="20"/>
      <c r="CD15" s="20"/>
      <c r="CE15" s="20"/>
      <c r="CF15" s="20"/>
      <c r="CG15" s="20"/>
      <c r="CH15" s="20"/>
      <c r="CI15" s="20"/>
      <c r="CJ15" s="20"/>
      <c r="CK15" s="20"/>
      <c r="CL15" s="20"/>
      <c r="CM15" s="20"/>
      <c r="CN15" s="20"/>
      <c r="CO15" s="20"/>
      <c r="CP15" s="20"/>
      <c r="CQ15" s="20"/>
      <c r="CR15" s="20"/>
      <c r="CS15" s="20"/>
      <c r="CT15" s="20"/>
      <c r="CU15" s="20"/>
      <c r="CV15" s="20"/>
      <c r="CW15" s="20"/>
      <c r="CX15" s="20"/>
      <c r="CY15" s="20"/>
      <c r="CZ15" s="20"/>
      <c r="DA15" s="20"/>
      <c r="DB15" s="20"/>
      <c r="DC15" s="20"/>
      <c r="DD15" s="20"/>
      <c r="DE15" s="20"/>
      <c r="DF15" s="20"/>
      <c r="DG15" s="20"/>
      <c r="DH15" s="20"/>
      <c r="DI15" s="20"/>
      <c r="DJ15" s="20"/>
      <c r="DK15" s="20"/>
      <c r="DL15" s="20"/>
      <c r="DM15" s="20"/>
      <c r="DN15" s="20"/>
      <c r="DO15" s="20"/>
      <c r="DP15" s="20"/>
      <c r="DQ15" s="20"/>
      <c r="DR15" s="20"/>
      <c r="DS15" s="20"/>
      <c r="DT15" s="20"/>
      <c r="DU15" s="20"/>
      <c r="DV15" s="20"/>
      <c r="DW15" s="20"/>
      <c r="DX15" s="20"/>
      <c r="DY15" s="20"/>
      <c r="DZ15" s="20"/>
      <c r="EA15" s="20"/>
      <c r="EB15" s="20"/>
      <c r="EC15" s="20"/>
      <c r="ED15" s="20"/>
      <c r="EE15" s="20"/>
      <c r="EF15" s="20"/>
      <c r="EG15" s="20"/>
    </row>
    <row r="16" spans="1:137" s="11" customFormat="1" ht="55.95" customHeight="1" x14ac:dyDescent="0.3">
      <c r="A16" s="7">
        <v>15</v>
      </c>
      <c r="B16" s="6" t="s">
        <v>860</v>
      </c>
      <c r="C16" s="10" t="s">
        <v>861</v>
      </c>
      <c r="D16" s="7">
        <v>2025</v>
      </c>
      <c r="E16" s="13" t="s">
        <v>862</v>
      </c>
      <c r="F16" s="7">
        <v>2</v>
      </c>
      <c r="G16" s="1" t="s">
        <v>863</v>
      </c>
      <c r="H16" s="6" t="s">
        <v>864</v>
      </c>
      <c r="I16" s="15" t="s">
        <v>865</v>
      </c>
      <c r="J16" s="1" t="s">
        <v>371</v>
      </c>
      <c r="K16" s="1" t="s">
        <v>222</v>
      </c>
      <c r="L16" s="1" t="s">
        <v>866</v>
      </c>
      <c r="M16" s="1" t="s">
        <v>435</v>
      </c>
      <c r="N16" s="1" t="s">
        <v>387</v>
      </c>
      <c r="O16" s="1"/>
      <c r="P16" s="1" t="s">
        <v>398</v>
      </c>
      <c r="Q16" s="1" t="s">
        <v>867</v>
      </c>
      <c r="R16" s="1"/>
      <c r="S16" s="6" t="s">
        <v>2355</v>
      </c>
      <c r="T16" s="6" t="s">
        <v>2356</v>
      </c>
      <c r="U16" s="6" t="s">
        <v>2357</v>
      </c>
      <c r="V16" s="6" t="s">
        <v>2358</v>
      </c>
      <c r="W16" s="6" t="s">
        <v>868</v>
      </c>
      <c r="X16" s="1">
        <v>5</v>
      </c>
      <c r="Y16" s="1">
        <v>3</v>
      </c>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c r="BG16" s="20"/>
      <c r="BH16" s="20"/>
      <c r="BI16" s="20"/>
      <c r="BJ16" s="20"/>
      <c r="BK16" s="20"/>
      <c r="BL16" s="20"/>
      <c r="BM16" s="20"/>
      <c r="BN16" s="20"/>
      <c r="BO16" s="20"/>
      <c r="BP16" s="20"/>
      <c r="BQ16" s="20"/>
      <c r="BR16" s="20"/>
      <c r="BS16" s="20"/>
      <c r="BT16" s="20"/>
      <c r="BU16" s="20"/>
      <c r="BV16" s="20"/>
      <c r="BW16" s="20"/>
      <c r="BX16" s="20"/>
      <c r="BY16" s="20"/>
      <c r="BZ16" s="20"/>
      <c r="CA16" s="20"/>
      <c r="CB16" s="20"/>
      <c r="CC16" s="20"/>
      <c r="CD16" s="20"/>
      <c r="CE16" s="20"/>
      <c r="CF16" s="20"/>
      <c r="CG16" s="20"/>
      <c r="CH16" s="20"/>
      <c r="CI16" s="20"/>
      <c r="CJ16" s="20"/>
      <c r="CK16" s="20"/>
      <c r="CL16" s="20"/>
      <c r="CM16" s="20"/>
      <c r="CN16" s="20"/>
      <c r="CO16" s="20"/>
      <c r="CP16" s="20"/>
      <c r="CQ16" s="20"/>
      <c r="CR16" s="20"/>
      <c r="CS16" s="20"/>
      <c r="CT16" s="20"/>
      <c r="CU16" s="20"/>
      <c r="CV16" s="20"/>
      <c r="CW16" s="20"/>
      <c r="CX16" s="20"/>
      <c r="CY16" s="20"/>
      <c r="CZ16" s="20"/>
      <c r="DA16" s="20"/>
      <c r="DB16" s="20"/>
      <c r="DC16" s="20"/>
      <c r="DD16" s="20"/>
      <c r="DE16" s="20"/>
      <c r="DF16" s="20"/>
      <c r="DG16" s="20"/>
      <c r="DH16" s="20"/>
      <c r="DI16" s="20"/>
      <c r="DJ16" s="20"/>
      <c r="DK16" s="20"/>
      <c r="DL16" s="20"/>
      <c r="DM16" s="20"/>
      <c r="DN16" s="20"/>
      <c r="DO16" s="20"/>
      <c r="DP16" s="20"/>
      <c r="DQ16" s="20"/>
      <c r="DR16" s="20"/>
      <c r="DS16" s="20"/>
      <c r="DT16" s="20"/>
      <c r="DU16" s="20"/>
      <c r="DV16" s="20"/>
      <c r="DW16" s="20"/>
      <c r="DX16" s="20"/>
      <c r="DY16" s="20"/>
      <c r="DZ16" s="20"/>
      <c r="EA16" s="20"/>
      <c r="EB16" s="20"/>
      <c r="EC16" s="20"/>
      <c r="ED16" s="20"/>
      <c r="EE16" s="20"/>
      <c r="EF16" s="20"/>
      <c r="EG16" s="20"/>
    </row>
    <row r="17" spans="1:137" s="11" customFormat="1" ht="55.95" customHeight="1" x14ac:dyDescent="0.3">
      <c r="A17" s="7">
        <v>16</v>
      </c>
      <c r="B17" s="6" t="s">
        <v>869</v>
      </c>
      <c r="C17" s="10" t="s">
        <v>870</v>
      </c>
      <c r="D17" s="7">
        <v>2025</v>
      </c>
      <c r="E17" s="13" t="s">
        <v>56</v>
      </c>
      <c r="F17" s="7">
        <v>2</v>
      </c>
      <c r="G17" s="1" t="s">
        <v>871</v>
      </c>
      <c r="H17" s="6" t="s">
        <v>872</v>
      </c>
      <c r="I17" s="15" t="s">
        <v>873</v>
      </c>
      <c r="J17" s="1" t="s">
        <v>371</v>
      </c>
      <c r="K17" s="1" t="s">
        <v>222</v>
      </c>
      <c r="L17" s="1" t="s">
        <v>402</v>
      </c>
      <c r="M17" s="1" t="s">
        <v>425</v>
      </c>
      <c r="N17" s="1" t="s">
        <v>224</v>
      </c>
      <c r="O17" s="1" t="s">
        <v>478</v>
      </c>
      <c r="P17" s="1" t="s">
        <v>457</v>
      </c>
      <c r="Q17" s="1"/>
      <c r="R17" s="1" t="s">
        <v>386</v>
      </c>
      <c r="S17" s="6" t="s">
        <v>2359</v>
      </c>
      <c r="T17" s="6" t="s">
        <v>2360</v>
      </c>
      <c r="U17" s="6" t="s">
        <v>2361</v>
      </c>
      <c r="V17" s="6" t="s">
        <v>2362</v>
      </c>
      <c r="W17" s="6"/>
      <c r="X17" s="1">
        <v>4</v>
      </c>
      <c r="Y17" s="1">
        <v>3</v>
      </c>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c r="BC17" s="20"/>
      <c r="BD17" s="20"/>
      <c r="BE17" s="20"/>
      <c r="BF17" s="20"/>
      <c r="BG17" s="20"/>
      <c r="BH17" s="20"/>
      <c r="BI17" s="20"/>
      <c r="BJ17" s="20"/>
      <c r="BK17" s="20"/>
      <c r="BL17" s="20"/>
      <c r="BM17" s="20"/>
      <c r="BN17" s="20"/>
      <c r="BO17" s="20"/>
      <c r="BP17" s="20"/>
      <c r="BQ17" s="20"/>
      <c r="BR17" s="20"/>
      <c r="BS17" s="20"/>
      <c r="BT17" s="20"/>
      <c r="BU17" s="20"/>
      <c r="BV17" s="20"/>
      <c r="BW17" s="20"/>
      <c r="BX17" s="20"/>
      <c r="BY17" s="20"/>
      <c r="BZ17" s="20"/>
      <c r="CA17" s="20"/>
      <c r="CB17" s="20"/>
      <c r="CC17" s="20"/>
      <c r="CD17" s="20"/>
      <c r="CE17" s="20"/>
      <c r="CF17" s="20"/>
      <c r="CG17" s="20"/>
      <c r="CH17" s="20"/>
      <c r="CI17" s="20"/>
      <c r="CJ17" s="20"/>
      <c r="CK17" s="20"/>
      <c r="CL17" s="20"/>
      <c r="CM17" s="20"/>
      <c r="CN17" s="20"/>
      <c r="CO17" s="20"/>
      <c r="CP17" s="20"/>
      <c r="CQ17" s="20"/>
      <c r="CR17" s="20"/>
      <c r="CS17" s="20"/>
      <c r="CT17" s="20"/>
      <c r="CU17" s="20"/>
      <c r="CV17" s="20"/>
      <c r="CW17" s="20"/>
      <c r="CX17" s="20"/>
      <c r="CY17" s="20"/>
      <c r="CZ17" s="20"/>
      <c r="DA17" s="20"/>
      <c r="DB17" s="20"/>
      <c r="DC17" s="20"/>
      <c r="DD17" s="20"/>
      <c r="DE17" s="20"/>
      <c r="DF17" s="20"/>
      <c r="DG17" s="20"/>
      <c r="DH17" s="20"/>
      <c r="DI17" s="20"/>
      <c r="DJ17" s="20"/>
      <c r="DK17" s="20"/>
      <c r="DL17" s="20"/>
      <c r="DM17" s="20"/>
      <c r="DN17" s="20"/>
      <c r="DO17" s="20"/>
      <c r="DP17" s="20"/>
      <c r="DQ17" s="20"/>
      <c r="DR17" s="20"/>
      <c r="DS17" s="20"/>
      <c r="DT17" s="20"/>
      <c r="DU17" s="20"/>
      <c r="DV17" s="20"/>
      <c r="DW17" s="20"/>
      <c r="DX17" s="20"/>
      <c r="DY17" s="20"/>
      <c r="DZ17" s="20"/>
      <c r="EA17" s="20"/>
      <c r="EB17" s="20"/>
      <c r="EC17" s="20"/>
      <c r="ED17" s="20"/>
      <c r="EE17" s="20"/>
      <c r="EF17" s="20"/>
      <c r="EG17" s="20"/>
    </row>
    <row r="18" spans="1:137" s="11" customFormat="1" ht="55.95" customHeight="1" x14ac:dyDescent="0.3">
      <c r="A18" s="7">
        <v>17</v>
      </c>
      <c r="B18" s="6" t="s">
        <v>874</v>
      </c>
      <c r="C18" s="10" t="s">
        <v>875</v>
      </c>
      <c r="D18" s="7">
        <v>2025</v>
      </c>
      <c r="E18" s="6" t="s">
        <v>73</v>
      </c>
      <c r="F18" s="7">
        <v>1</v>
      </c>
      <c r="G18" s="1" t="s">
        <v>876</v>
      </c>
      <c r="H18" s="6" t="s">
        <v>877</v>
      </c>
      <c r="I18" s="15" t="s">
        <v>878</v>
      </c>
      <c r="J18" s="1" t="s">
        <v>371</v>
      </c>
      <c r="K18" s="1" t="s">
        <v>775</v>
      </c>
      <c r="L18" s="1" t="s">
        <v>879</v>
      </c>
      <c r="M18" s="1" t="s">
        <v>802</v>
      </c>
      <c r="N18" s="1" t="s">
        <v>880</v>
      </c>
      <c r="O18" s="1"/>
      <c r="P18" s="1"/>
      <c r="Q18" s="1" t="s">
        <v>881</v>
      </c>
      <c r="R18" s="1"/>
      <c r="S18" s="6" t="s">
        <v>2363</v>
      </c>
      <c r="T18" s="6" t="s">
        <v>2364</v>
      </c>
      <c r="U18" s="6" t="s">
        <v>2365</v>
      </c>
      <c r="V18" s="6" t="s">
        <v>2366</v>
      </c>
      <c r="W18" s="6" t="s">
        <v>882</v>
      </c>
      <c r="X18" s="1">
        <v>5</v>
      </c>
      <c r="Y18" s="1">
        <v>3</v>
      </c>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c r="AY18" s="20"/>
      <c r="AZ18" s="20"/>
      <c r="BA18" s="20"/>
      <c r="BB18" s="20"/>
      <c r="BC18" s="20"/>
      <c r="BD18" s="20"/>
      <c r="BE18" s="20"/>
      <c r="BF18" s="20"/>
      <c r="BG18" s="20"/>
      <c r="BH18" s="20"/>
      <c r="BI18" s="20"/>
      <c r="BJ18" s="20"/>
      <c r="BK18" s="20"/>
      <c r="BL18" s="20"/>
      <c r="BM18" s="20"/>
      <c r="BN18" s="20"/>
      <c r="BO18" s="20"/>
      <c r="BP18" s="20"/>
      <c r="BQ18" s="20"/>
      <c r="BR18" s="20"/>
      <c r="BS18" s="20"/>
      <c r="BT18" s="20"/>
      <c r="BU18" s="20"/>
      <c r="BV18" s="20"/>
      <c r="BW18" s="20"/>
      <c r="BX18" s="20"/>
      <c r="BY18" s="20"/>
      <c r="BZ18" s="20"/>
      <c r="CA18" s="20"/>
      <c r="CB18" s="20"/>
      <c r="CC18" s="20"/>
      <c r="CD18" s="20"/>
      <c r="CE18" s="20"/>
      <c r="CF18" s="20"/>
      <c r="CG18" s="20"/>
      <c r="CH18" s="20"/>
      <c r="CI18" s="20"/>
      <c r="CJ18" s="20"/>
      <c r="CK18" s="20"/>
      <c r="CL18" s="20"/>
      <c r="CM18" s="20"/>
      <c r="CN18" s="20"/>
      <c r="CO18" s="20"/>
      <c r="CP18" s="20"/>
      <c r="CQ18" s="20"/>
      <c r="CR18" s="20"/>
      <c r="CS18" s="20"/>
      <c r="CT18" s="20"/>
      <c r="CU18" s="20"/>
      <c r="CV18" s="20"/>
      <c r="CW18" s="20"/>
      <c r="CX18" s="20"/>
      <c r="CY18" s="20"/>
      <c r="CZ18" s="20"/>
      <c r="DA18" s="20"/>
      <c r="DB18" s="20"/>
      <c r="DC18" s="20"/>
      <c r="DD18" s="20"/>
      <c r="DE18" s="20"/>
      <c r="DF18" s="20"/>
      <c r="DG18" s="20"/>
      <c r="DH18" s="20"/>
      <c r="DI18" s="20"/>
      <c r="DJ18" s="20"/>
      <c r="DK18" s="20"/>
      <c r="DL18" s="20"/>
      <c r="DM18" s="20"/>
      <c r="DN18" s="20"/>
      <c r="DO18" s="20"/>
      <c r="DP18" s="20"/>
      <c r="DQ18" s="20"/>
      <c r="DR18" s="20"/>
      <c r="DS18" s="20"/>
      <c r="DT18" s="20"/>
      <c r="DU18" s="20"/>
      <c r="DV18" s="20"/>
      <c r="DW18" s="20"/>
      <c r="DX18" s="20"/>
      <c r="DY18" s="20"/>
      <c r="DZ18" s="20"/>
      <c r="EA18" s="20"/>
      <c r="EB18" s="20"/>
      <c r="EC18" s="20"/>
      <c r="ED18" s="20"/>
      <c r="EE18" s="20"/>
      <c r="EF18" s="20"/>
      <c r="EG18" s="20"/>
    </row>
    <row r="19" spans="1:137" s="11" customFormat="1" ht="55.95" customHeight="1" x14ac:dyDescent="0.3">
      <c r="A19" s="7">
        <v>18</v>
      </c>
      <c r="B19" s="6" t="s">
        <v>883</v>
      </c>
      <c r="C19" s="10" t="s">
        <v>884</v>
      </c>
      <c r="D19" s="7">
        <v>2025</v>
      </c>
      <c r="E19" s="13" t="s">
        <v>862</v>
      </c>
      <c r="F19" s="7">
        <v>0</v>
      </c>
      <c r="G19" s="1" t="s">
        <v>885</v>
      </c>
      <c r="H19" s="6" t="s">
        <v>886</v>
      </c>
      <c r="I19" s="15" t="s">
        <v>887</v>
      </c>
      <c r="J19" s="1" t="s">
        <v>371</v>
      </c>
      <c r="K19" s="1" t="s">
        <v>222</v>
      </c>
      <c r="L19" s="1" t="s">
        <v>888</v>
      </c>
      <c r="M19" s="1" t="s">
        <v>757</v>
      </c>
      <c r="N19" s="1" t="s">
        <v>387</v>
      </c>
      <c r="O19" s="1"/>
      <c r="P19" s="1" t="s">
        <v>889</v>
      </c>
      <c r="Q19" s="1" t="s">
        <v>786</v>
      </c>
      <c r="R19" s="1" t="s">
        <v>386</v>
      </c>
      <c r="S19" s="6" t="s">
        <v>2367</v>
      </c>
      <c r="T19" s="6" t="s">
        <v>2368</v>
      </c>
      <c r="U19" s="6" t="s">
        <v>2369</v>
      </c>
      <c r="V19" s="6" t="s">
        <v>2370</v>
      </c>
      <c r="W19" s="6"/>
      <c r="X19" s="1">
        <v>5</v>
      </c>
      <c r="Y19" s="1">
        <v>4</v>
      </c>
      <c r="Z19" s="20"/>
      <c r="AA19" s="20"/>
      <c r="AB19" s="20"/>
      <c r="AC19" s="20"/>
      <c r="AD19" s="20"/>
      <c r="AE19" s="20"/>
      <c r="AF19" s="20"/>
      <c r="AG19" s="20"/>
      <c r="AH19" s="20"/>
      <c r="AI19" s="20"/>
      <c r="AJ19" s="20"/>
      <c r="AK19" s="20"/>
      <c r="AL19" s="20"/>
      <c r="AM19" s="20"/>
      <c r="AN19" s="20"/>
      <c r="AO19" s="20"/>
      <c r="AP19" s="20"/>
      <c r="AQ19" s="20"/>
      <c r="AR19" s="20"/>
      <c r="AS19" s="20"/>
      <c r="AT19" s="20"/>
      <c r="AU19" s="20"/>
      <c r="AV19" s="20"/>
      <c r="AW19" s="20"/>
      <c r="AX19" s="20"/>
      <c r="AY19" s="20"/>
      <c r="AZ19" s="20"/>
      <c r="BA19" s="20"/>
      <c r="BB19" s="20"/>
      <c r="BC19" s="20"/>
      <c r="BD19" s="20"/>
      <c r="BE19" s="20"/>
      <c r="BF19" s="20"/>
      <c r="BG19" s="20"/>
      <c r="BH19" s="20"/>
      <c r="BI19" s="20"/>
      <c r="BJ19" s="20"/>
      <c r="BK19" s="20"/>
      <c r="BL19" s="20"/>
      <c r="BM19" s="20"/>
      <c r="BN19" s="20"/>
      <c r="BO19" s="20"/>
      <c r="BP19" s="20"/>
      <c r="BQ19" s="20"/>
      <c r="BR19" s="20"/>
      <c r="BS19" s="20"/>
      <c r="BT19" s="20"/>
      <c r="BU19" s="20"/>
      <c r="BV19" s="20"/>
      <c r="BW19" s="20"/>
      <c r="BX19" s="20"/>
      <c r="BY19" s="20"/>
      <c r="BZ19" s="20"/>
      <c r="CA19" s="20"/>
      <c r="CB19" s="20"/>
      <c r="CC19" s="20"/>
      <c r="CD19" s="20"/>
      <c r="CE19" s="20"/>
      <c r="CF19" s="20"/>
      <c r="CG19" s="20"/>
      <c r="CH19" s="20"/>
      <c r="CI19" s="20"/>
      <c r="CJ19" s="20"/>
      <c r="CK19" s="20"/>
      <c r="CL19" s="20"/>
      <c r="CM19" s="20"/>
      <c r="CN19" s="20"/>
      <c r="CO19" s="20"/>
      <c r="CP19" s="20"/>
      <c r="CQ19" s="20"/>
      <c r="CR19" s="20"/>
      <c r="CS19" s="20"/>
      <c r="CT19" s="20"/>
      <c r="CU19" s="20"/>
      <c r="CV19" s="20"/>
      <c r="CW19" s="20"/>
      <c r="CX19" s="20"/>
      <c r="CY19" s="20"/>
      <c r="CZ19" s="20"/>
      <c r="DA19" s="20"/>
      <c r="DB19" s="20"/>
      <c r="DC19" s="20"/>
      <c r="DD19" s="20"/>
      <c r="DE19" s="20"/>
      <c r="DF19" s="20"/>
      <c r="DG19" s="20"/>
      <c r="DH19" s="20"/>
      <c r="DI19" s="20"/>
      <c r="DJ19" s="20"/>
      <c r="DK19" s="20"/>
      <c r="DL19" s="20"/>
      <c r="DM19" s="20"/>
      <c r="DN19" s="20"/>
      <c r="DO19" s="20"/>
      <c r="DP19" s="20"/>
      <c r="DQ19" s="20"/>
      <c r="DR19" s="20"/>
      <c r="DS19" s="20"/>
      <c r="DT19" s="20"/>
      <c r="DU19" s="20"/>
      <c r="DV19" s="20"/>
      <c r="DW19" s="20"/>
      <c r="DX19" s="20"/>
      <c r="DY19" s="20"/>
      <c r="DZ19" s="20"/>
      <c r="EA19" s="20"/>
      <c r="EB19" s="20"/>
      <c r="EC19" s="20"/>
      <c r="ED19" s="20"/>
      <c r="EE19" s="20"/>
      <c r="EF19" s="20"/>
      <c r="EG19" s="20"/>
    </row>
    <row r="20" spans="1:137" s="11" customFormat="1" ht="55.95" customHeight="1" x14ac:dyDescent="0.3">
      <c r="A20" s="7">
        <v>19</v>
      </c>
      <c r="B20" s="6" t="s">
        <v>890</v>
      </c>
      <c r="C20" s="10" t="s">
        <v>891</v>
      </c>
      <c r="D20" s="7">
        <v>2025</v>
      </c>
      <c r="E20" s="13" t="s">
        <v>862</v>
      </c>
      <c r="F20" s="7">
        <v>0</v>
      </c>
      <c r="G20" s="1" t="s">
        <v>892</v>
      </c>
      <c r="H20" s="6" t="s">
        <v>893</v>
      </c>
      <c r="I20" s="15" t="s">
        <v>894</v>
      </c>
      <c r="J20" s="1" t="s">
        <v>371</v>
      </c>
      <c r="K20" s="1" t="s">
        <v>222</v>
      </c>
      <c r="L20" s="1" t="s">
        <v>810</v>
      </c>
      <c r="M20" s="1" t="s">
        <v>757</v>
      </c>
      <c r="N20" s="1" t="s">
        <v>387</v>
      </c>
      <c r="P20" s="1"/>
      <c r="Q20" s="1" t="s">
        <v>895</v>
      </c>
      <c r="R20" s="1"/>
      <c r="S20" s="6" t="s">
        <v>2371</v>
      </c>
      <c r="T20" s="6"/>
      <c r="U20" s="6" t="s">
        <v>2372</v>
      </c>
      <c r="V20" s="6" t="s">
        <v>2373</v>
      </c>
      <c r="W20" s="6" t="s">
        <v>896</v>
      </c>
      <c r="X20" s="1">
        <v>5</v>
      </c>
      <c r="Y20" s="1">
        <v>3</v>
      </c>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20"/>
      <c r="BB20" s="20"/>
      <c r="BC20" s="20"/>
      <c r="BD20" s="20"/>
      <c r="BE20" s="20"/>
      <c r="BF20" s="20"/>
      <c r="BG20" s="20"/>
      <c r="BH20" s="20"/>
      <c r="BI20" s="20"/>
      <c r="BJ20" s="20"/>
      <c r="BK20" s="20"/>
      <c r="BL20" s="20"/>
      <c r="BM20" s="20"/>
      <c r="BN20" s="20"/>
      <c r="BO20" s="20"/>
      <c r="BP20" s="20"/>
      <c r="BQ20" s="20"/>
      <c r="BR20" s="20"/>
      <c r="BS20" s="20"/>
      <c r="BT20" s="20"/>
      <c r="BU20" s="20"/>
      <c r="BV20" s="20"/>
      <c r="BW20" s="20"/>
      <c r="BX20" s="20"/>
      <c r="BY20" s="20"/>
      <c r="BZ20" s="20"/>
      <c r="CA20" s="20"/>
      <c r="CB20" s="20"/>
      <c r="CC20" s="20"/>
      <c r="CD20" s="20"/>
      <c r="CE20" s="20"/>
      <c r="CF20" s="20"/>
      <c r="CG20" s="20"/>
      <c r="CH20" s="20"/>
      <c r="CI20" s="20"/>
      <c r="CJ20" s="20"/>
      <c r="CK20" s="20"/>
      <c r="CL20" s="20"/>
      <c r="CM20" s="20"/>
      <c r="CN20" s="20"/>
      <c r="CO20" s="20"/>
      <c r="CP20" s="20"/>
      <c r="CQ20" s="20"/>
      <c r="CR20" s="20"/>
      <c r="CS20" s="20"/>
      <c r="CT20" s="20"/>
      <c r="CU20" s="20"/>
      <c r="CV20" s="20"/>
      <c r="CW20" s="20"/>
      <c r="CX20" s="20"/>
      <c r="CY20" s="20"/>
      <c r="CZ20" s="20"/>
      <c r="DA20" s="20"/>
      <c r="DB20" s="20"/>
      <c r="DC20" s="20"/>
      <c r="DD20" s="20"/>
      <c r="DE20" s="20"/>
      <c r="DF20" s="20"/>
      <c r="DG20" s="20"/>
      <c r="DH20" s="20"/>
      <c r="DI20" s="20"/>
      <c r="DJ20" s="20"/>
      <c r="DK20" s="20"/>
      <c r="DL20" s="20"/>
      <c r="DM20" s="20"/>
      <c r="DN20" s="20"/>
      <c r="DO20" s="20"/>
      <c r="DP20" s="20"/>
      <c r="DQ20" s="20"/>
      <c r="DR20" s="20"/>
      <c r="DS20" s="20"/>
      <c r="DT20" s="20"/>
      <c r="DU20" s="20"/>
      <c r="DV20" s="20"/>
      <c r="DW20" s="20"/>
      <c r="DX20" s="20"/>
      <c r="DY20" s="20"/>
      <c r="DZ20" s="20"/>
      <c r="EA20" s="20"/>
      <c r="EB20" s="20"/>
      <c r="EC20" s="20"/>
      <c r="ED20" s="20"/>
      <c r="EE20" s="20"/>
      <c r="EF20" s="20"/>
      <c r="EG20" s="20"/>
    </row>
    <row r="21" spans="1:137" s="11" customFormat="1" ht="55.95" customHeight="1" x14ac:dyDescent="0.3">
      <c r="A21" s="7">
        <v>20</v>
      </c>
      <c r="B21" s="6" t="s">
        <v>897</v>
      </c>
      <c r="C21" s="10" t="s">
        <v>898</v>
      </c>
      <c r="D21" s="7">
        <v>2025</v>
      </c>
      <c r="E21" s="13" t="s">
        <v>60</v>
      </c>
      <c r="F21" s="7">
        <v>0</v>
      </c>
      <c r="G21" s="1" t="s">
        <v>899</v>
      </c>
      <c r="H21" s="6" t="s">
        <v>350</v>
      </c>
      <c r="I21" s="15" t="s">
        <v>900</v>
      </c>
      <c r="J21" s="1" t="str">
        <f t="shared" ref="J21" si="1">IF(OR(
  E21="International Journal of Production Research",
  E21="Journal of Manufacturing Technology Management",
  E21="International Journal of Production Economics",
  E21="Journal of Industrial Information Integration",
  E21="Transportation Research Part E: Logistics and Transportation Review",
  E21="Journal of Cleaner Production",
  E21="MM 2024 - Proceedings of the 32nd ACM International Conference on Multimedia",
  E21="Oeconomia Copernicana",
  E21="Technology in Society"
), "MGT", "ENG")</f>
        <v>MGT</v>
      </c>
      <c r="K21" s="1" t="s">
        <v>222</v>
      </c>
      <c r="L21" s="1" t="s">
        <v>402</v>
      </c>
      <c r="M21" s="1" t="s">
        <v>425</v>
      </c>
      <c r="N21" s="1" t="s">
        <v>383</v>
      </c>
      <c r="O21" s="1" t="s">
        <v>481</v>
      </c>
      <c r="P21" s="1" t="s">
        <v>457</v>
      </c>
      <c r="Q21" s="1" t="s">
        <v>546</v>
      </c>
      <c r="R21" s="1"/>
      <c r="S21" s="6" t="s">
        <v>2374</v>
      </c>
      <c r="T21" s="6" t="s">
        <v>2375</v>
      </c>
      <c r="U21" s="6" t="s">
        <v>2376</v>
      </c>
      <c r="V21" s="6" t="s">
        <v>2377</v>
      </c>
      <c r="W21" s="6"/>
      <c r="X21" s="1">
        <v>4</v>
      </c>
      <c r="Y21" s="1">
        <v>4</v>
      </c>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0"/>
      <c r="BQ21" s="20"/>
      <c r="BR21" s="20"/>
      <c r="BS21" s="20"/>
      <c r="BT21" s="20"/>
      <c r="BU21" s="20"/>
      <c r="BV21" s="20"/>
      <c r="BW21" s="20"/>
      <c r="BX21" s="20"/>
      <c r="BY21" s="20"/>
      <c r="BZ21" s="20"/>
      <c r="CA21" s="20"/>
      <c r="CB21" s="20"/>
      <c r="CC21" s="20"/>
      <c r="CD21" s="20"/>
      <c r="CE21" s="20"/>
      <c r="CF21" s="20"/>
      <c r="CG21" s="20"/>
      <c r="CH21" s="20"/>
      <c r="CI21" s="20"/>
      <c r="CJ21" s="20"/>
      <c r="CK21" s="20"/>
      <c r="CL21" s="20"/>
      <c r="CM21" s="20"/>
      <c r="CN21" s="20"/>
      <c r="CO21" s="20"/>
      <c r="CP21" s="20"/>
      <c r="CQ21" s="20"/>
      <c r="CR21" s="20"/>
      <c r="CS21" s="20"/>
      <c r="CT21" s="20"/>
      <c r="CU21" s="20"/>
      <c r="CV21" s="20"/>
      <c r="CW21" s="20"/>
      <c r="CX21" s="20"/>
      <c r="CY21" s="20"/>
      <c r="CZ21" s="20"/>
      <c r="DA21" s="20"/>
      <c r="DB21" s="20"/>
      <c r="DC21" s="20"/>
      <c r="DD21" s="20"/>
      <c r="DE21" s="20"/>
      <c r="DF21" s="20"/>
      <c r="DG21" s="20"/>
      <c r="DH21" s="20"/>
      <c r="DI21" s="20"/>
      <c r="DJ21" s="20"/>
      <c r="DK21" s="20"/>
      <c r="DL21" s="20"/>
      <c r="DM21" s="20"/>
      <c r="DN21" s="20"/>
      <c r="DO21" s="20"/>
      <c r="DP21" s="20"/>
      <c r="DQ21" s="20"/>
      <c r="DR21" s="20"/>
      <c r="DS21" s="20"/>
      <c r="DT21" s="20"/>
      <c r="DU21" s="20"/>
      <c r="DV21" s="20"/>
      <c r="DW21" s="20"/>
      <c r="DX21" s="20"/>
      <c r="DY21" s="20"/>
      <c r="DZ21" s="20"/>
      <c r="EA21" s="20"/>
      <c r="EB21" s="20"/>
      <c r="EC21" s="20"/>
      <c r="ED21" s="20"/>
      <c r="EE21" s="20"/>
      <c r="EF21" s="20"/>
      <c r="EG21" s="20"/>
    </row>
    <row r="22" spans="1:137" s="11" customFormat="1" ht="55.95" customHeight="1" x14ac:dyDescent="0.3">
      <c r="A22" s="7">
        <v>21</v>
      </c>
      <c r="B22" s="6" t="s">
        <v>901</v>
      </c>
      <c r="C22" s="10" t="s">
        <v>902</v>
      </c>
      <c r="D22" s="7">
        <v>2025</v>
      </c>
      <c r="E22" s="13" t="s">
        <v>862</v>
      </c>
      <c r="F22" s="7">
        <v>0</v>
      </c>
      <c r="G22" s="1" t="s">
        <v>903</v>
      </c>
      <c r="H22" s="6" t="s">
        <v>904</v>
      </c>
      <c r="I22" s="15" t="s">
        <v>905</v>
      </c>
      <c r="J22" s="1" t="s">
        <v>371</v>
      </c>
      <c r="K22" s="1" t="s">
        <v>222</v>
      </c>
      <c r="L22" s="1" t="s">
        <v>756</v>
      </c>
      <c r="M22" s="1" t="s">
        <v>906</v>
      </c>
      <c r="N22" s="1" t="s">
        <v>387</v>
      </c>
      <c r="O22" s="1"/>
      <c r="P22" s="1"/>
      <c r="Q22" s="1" t="s">
        <v>907</v>
      </c>
      <c r="R22" s="1"/>
      <c r="S22" s="6" t="s">
        <v>2378</v>
      </c>
      <c r="T22" s="6" t="s">
        <v>2379</v>
      </c>
      <c r="U22" s="6" t="s">
        <v>2380</v>
      </c>
      <c r="V22" s="6" t="s">
        <v>2381</v>
      </c>
      <c r="W22" s="6" t="s">
        <v>908</v>
      </c>
      <c r="X22" s="1">
        <v>5</v>
      </c>
      <c r="Y22" s="1">
        <v>3</v>
      </c>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c r="BC22" s="20"/>
      <c r="BD22" s="20"/>
      <c r="BE22" s="20"/>
      <c r="BF22" s="20"/>
      <c r="BG22" s="20"/>
      <c r="BH22" s="20"/>
      <c r="BI22" s="20"/>
      <c r="BJ22" s="20"/>
      <c r="BK22" s="20"/>
      <c r="BL22" s="20"/>
      <c r="BM22" s="20"/>
      <c r="BN22" s="20"/>
      <c r="BO22" s="20"/>
      <c r="BP22" s="20"/>
      <c r="BQ22" s="20"/>
      <c r="BR22" s="20"/>
      <c r="BS22" s="20"/>
      <c r="BT22" s="20"/>
      <c r="BU22" s="20"/>
      <c r="BV22" s="20"/>
      <c r="BW22" s="20"/>
      <c r="BX22" s="20"/>
      <c r="BY22" s="20"/>
      <c r="BZ22" s="20"/>
      <c r="CA22" s="20"/>
      <c r="CB22" s="20"/>
      <c r="CC22" s="20"/>
      <c r="CD22" s="20"/>
      <c r="CE22" s="20"/>
      <c r="CF22" s="20"/>
      <c r="CG22" s="20"/>
      <c r="CH22" s="20"/>
      <c r="CI22" s="20"/>
      <c r="CJ22" s="20"/>
      <c r="CK22" s="20"/>
      <c r="CL22" s="20"/>
      <c r="CM22" s="20"/>
      <c r="CN22" s="20"/>
      <c r="CO22" s="20"/>
      <c r="CP22" s="20"/>
      <c r="CQ22" s="20"/>
      <c r="CR22" s="20"/>
      <c r="CS22" s="20"/>
      <c r="CT22" s="20"/>
      <c r="CU22" s="20"/>
      <c r="CV22" s="20"/>
      <c r="CW22" s="20"/>
      <c r="CX22" s="20"/>
      <c r="CY22" s="20"/>
      <c r="CZ22" s="20"/>
      <c r="DA22" s="20"/>
      <c r="DB22" s="20"/>
      <c r="DC22" s="20"/>
      <c r="DD22" s="20"/>
      <c r="DE22" s="20"/>
      <c r="DF22" s="20"/>
      <c r="DG22" s="20"/>
      <c r="DH22" s="20"/>
      <c r="DI22" s="20"/>
      <c r="DJ22" s="20"/>
      <c r="DK22" s="20"/>
      <c r="DL22" s="20"/>
      <c r="DM22" s="20"/>
      <c r="DN22" s="20"/>
      <c r="DO22" s="20"/>
      <c r="DP22" s="20"/>
      <c r="DQ22" s="20"/>
      <c r="DR22" s="20"/>
      <c r="DS22" s="20"/>
      <c r="DT22" s="20"/>
      <c r="DU22" s="20"/>
      <c r="DV22" s="20"/>
      <c r="DW22" s="20"/>
      <c r="DX22" s="20"/>
      <c r="DY22" s="20"/>
      <c r="DZ22" s="20"/>
      <c r="EA22" s="20"/>
      <c r="EB22" s="20"/>
      <c r="EC22" s="20"/>
      <c r="ED22" s="20"/>
      <c r="EE22" s="20"/>
      <c r="EF22" s="20"/>
      <c r="EG22" s="20"/>
    </row>
    <row r="23" spans="1:137" s="11" customFormat="1" ht="55.95" customHeight="1" x14ac:dyDescent="0.3">
      <c r="A23" s="7">
        <v>22</v>
      </c>
      <c r="B23" s="6" t="s">
        <v>730</v>
      </c>
      <c r="C23" s="10" t="s">
        <v>1222</v>
      </c>
      <c r="D23" s="7">
        <v>2025</v>
      </c>
      <c r="E23" s="13" t="s">
        <v>60</v>
      </c>
      <c r="F23" s="7">
        <v>3</v>
      </c>
      <c r="G23" s="1" t="str">
        <f t="shared" ref="G23:G25" si="2">IFERROR(LEFT(C23, FIND(";", C23) - 1), C23)</f>
        <v>Löwhagen, N.</v>
      </c>
      <c r="H23" s="6" t="s">
        <v>731</v>
      </c>
      <c r="I23" s="15" t="s">
        <v>732</v>
      </c>
      <c r="J23" s="1" t="s">
        <v>371</v>
      </c>
      <c r="K23" s="1" t="s">
        <v>222</v>
      </c>
      <c r="L23" s="1" t="s">
        <v>733</v>
      </c>
      <c r="M23" s="1" t="s">
        <v>757</v>
      </c>
      <c r="N23" s="1" t="s">
        <v>383</v>
      </c>
      <c r="O23" s="1" t="s">
        <v>419</v>
      </c>
      <c r="P23" s="1" t="s">
        <v>1472</v>
      </c>
      <c r="Q23" s="1" t="s">
        <v>1473</v>
      </c>
      <c r="R23" s="1" t="s">
        <v>386</v>
      </c>
      <c r="S23" s="6" t="s">
        <v>2382</v>
      </c>
      <c r="T23" s="6" t="s">
        <v>2383</v>
      </c>
      <c r="U23" s="6" t="s">
        <v>2384</v>
      </c>
      <c r="V23" s="6" t="s">
        <v>2385</v>
      </c>
      <c r="W23" s="6"/>
      <c r="X23" s="1"/>
      <c r="Y23" s="1"/>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0"/>
      <c r="BQ23" s="20"/>
      <c r="BR23" s="20"/>
      <c r="BS23" s="20"/>
      <c r="BT23" s="20"/>
      <c r="BU23" s="20"/>
      <c r="BV23" s="20"/>
      <c r="BW23" s="20"/>
      <c r="BX23" s="20"/>
      <c r="BY23" s="20"/>
      <c r="BZ23" s="20"/>
      <c r="CA23" s="20"/>
      <c r="CB23" s="20"/>
      <c r="CC23" s="20"/>
      <c r="CD23" s="20"/>
      <c r="CE23" s="20"/>
      <c r="CF23" s="20"/>
      <c r="CG23" s="20"/>
      <c r="CH23" s="20"/>
      <c r="CI23" s="20"/>
      <c r="CJ23" s="20"/>
      <c r="CK23" s="20"/>
      <c r="CL23" s="20"/>
      <c r="CM23" s="20"/>
      <c r="CN23" s="20"/>
      <c r="CO23" s="20"/>
      <c r="CP23" s="20"/>
      <c r="CQ23" s="20"/>
      <c r="CR23" s="20"/>
      <c r="CS23" s="20"/>
      <c r="CT23" s="20"/>
      <c r="CU23" s="20"/>
      <c r="CV23" s="20"/>
      <c r="CW23" s="20"/>
      <c r="CX23" s="20"/>
      <c r="CY23" s="20"/>
      <c r="CZ23" s="20"/>
      <c r="DA23" s="20"/>
      <c r="DB23" s="20"/>
      <c r="DC23" s="20"/>
      <c r="DD23" s="20"/>
      <c r="DE23" s="20"/>
      <c r="DF23" s="20"/>
      <c r="DG23" s="20"/>
      <c r="DH23" s="20"/>
      <c r="DI23" s="20"/>
      <c r="DJ23" s="20"/>
      <c r="DK23" s="20"/>
      <c r="DL23" s="20"/>
      <c r="DM23" s="20"/>
      <c r="DN23" s="20"/>
      <c r="DO23" s="20"/>
      <c r="DP23" s="20"/>
      <c r="DQ23" s="20"/>
      <c r="DR23" s="20"/>
      <c r="DS23" s="20"/>
      <c r="DT23" s="20"/>
      <c r="DU23" s="20"/>
      <c r="DV23" s="20"/>
      <c r="DW23" s="20"/>
      <c r="DX23" s="20"/>
      <c r="DY23" s="20"/>
      <c r="DZ23" s="20"/>
      <c r="EA23" s="20"/>
      <c r="EB23" s="20"/>
      <c r="EC23" s="20"/>
      <c r="ED23" s="20"/>
      <c r="EE23" s="20"/>
      <c r="EF23" s="20"/>
      <c r="EG23" s="20"/>
    </row>
    <row r="24" spans="1:137" ht="55.2" customHeight="1" x14ac:dyDescent="0.3">
      <c r="A24" s="1">
        <v>23</v>
      </c>
      <c r="B24" s="6" t="s">
        <v>1077</v>
      </c>
      <c r="C24" s="10" t="s">
        <v>1120</v>
      </c>
      <c r="D24" s="7">
        <v>2026</v>
      </c>
      <c r="E24" s="13" t="s">
        <v>752</v>
      </c>
      <c r="F24" s="7">
        <v>0</v>
      </c>
      <c r="G24" s="1" t="str">
        <f t="shared" si="2"/>
        <v>Fang, J.</v>
      </c>
      <c r="H24" s="28" t="s">
        <v>1171</v>
      </c>
      <c r="I24" s="15" t="s">
        <v>1207</v>
      </c>
      <c r="J24" s="1" t="s">
        <v>371</v>
      </c>
      <c r="K24" s="1" t="s">
        <v>222</v>
      </c>
      <c r="L24" s="1" t="s">
        <v>733</v>
      </c>
      <c r="M24" s="1" t="s">
        <v>757</v>
      </c>
      <c r="N24" s="1" t="s">
        <v>387</v>
      </c>
      <c r="O24" s="1" t="s">
        <v>1538</v>
      </c>
      <c r="R24" s="1" t="s">
        <v>386</v>
      </c>
      <c r="S24" s="6" t="s">
        <v>2386</v>
      </c>
      <c r="T24" s="6" t="s">
        <v>2387</v>
      </c>
      <c r="V24" s="6" t="s">
        <v>2388</v>
      </c>
      <c r="W24" s="15"/>
      <c r="X24" s="1">
        <v>4</v>
      </c>
      <c r="Y24" s="1">
        <v>4</v>
      </c>
      <c r="Z24" s="20"/>
      <c r="AA24" s="20"/>
      <c r="AB24" s="20"/>
      <c r="AC24" s="20"/>
      <c r="AD24" s="20"/>
      <c r="AE24" s="20"/>
      <c r="AF24" s="20"/>
      <c r="AG24" s="20"/>
      <c r="AH24" s="20"/>
      <c r="AI24" s="20"/>
      <c r="AJ24" s="20"/>
      <c r="AK24" s="23"/>
      <c r="AL24" s="23"/>
    </row>
    <row r="25" spans="1:137" ht="55.95" customHeight="1" x14ac:dyDescent="0.3">
      <c r="A25" s="1">
        <v>24</v>
      </c>
      <c r="B25" s="6" t="s">
        <v>1087</v>
      </c>
      <c r="C25" s="10" t="s">
        <v>1130</v>
      </c>
      <c r="D25" s="7">
        <v>2025</v>
      </c>
      <c r="E25" s="13" t="s">
        <v>752</v>
      </c>
      <c r="F25" s="7">
        <v>0</v>
      </c>
      <c r="G25" s="1" t="str">
        <f t="shared" si="2"/>
        <v>Zhao, J.</v>
      </c>
      <c r="H25" s="28" t="s">
        <v>1178</v>
      </c>
      <c r="I25" s="15" t="s">
        <v>1217</v>
      </c>
      <c r="J25" s="1" t="s">
        <v>371</v>
      </c>
      <c r="K25" s="1" t="s">
        <v>222</v>
      </c>
      <c r="L25" s="1" t="s">
        <v>1559</v>
      </c>
      <c r="M25" s="1" t="s">
        <v>757</v>
      </c>
      <c r="N25" s="1" t="s">
        <v>224</v>
      </c>
      <c r="O25" s="1" t="s">
        <v>385</v>
      </c>
      <c r="P25" s="1" t="s">
        <v>398</v>
      </c>
      <c r="Q25" s="1" t="s">
        <v>1560</v>
      </c>
      <c r="R25" s="1" t="s">
        <v>386</v>
      </c>
      <c r="S25" s="6" t="s">
        <v>2389</v>
      </c>
      <c r="T25" s="6" t="s">
        <v>2390</v>
      </c>
      <c r="U25" s="6" t="s">
        <v>2391</v>
      </c>
      <c r="V25" s="6" t="s">
        <v>2392</v>
      </c>
      <c r="W25" s="15" t="s">
        <v>1561</v>
      </c>
      <c r="X25" s="1">
        <v>4</v>
      </c>
      <c r="Y25" s="1">
        <v>5</v>
      </c>
      <c r="AA25"/>
      <c r="AB25"/>
      <c r="AK25" s="23"/>
      <c r="AL25" s="23"/>
    </row>
    <row r="26" spans="1:137" ht="55.95" customHeight="1" x14ac:dyDescent="0.3">
      <c r="A26" s="1">
        <v>25</v>
      </c>
      <c r="B26" s="6" t="s">
        <v>1236</v>
      </c>
      <c r="C26" s="10" t="s">
        <v>1250</v>
      </c>
      <c r="D26" s="7">
        <v>2025</v>
      </c>
      <c r="E26" s="13" t="s">
        <v>831</v>
      </c>
      <c r="F26" s="7">
        <v>30</v>
      </c>
      <c r="G26" s="1" t="str">
        <f>IFERROR(LEFT(C26, FIND(";", C26) - 1), C26)</f>
        <v>Wang, S.</v>
      </c>
      <c r="H26" s="28" t="s">
        <v>1260</v>
      </c>
      <c r="I26" s="15" t="s">
        <v>1275</v>
      </c>
      <c r="J26" s="1" t="s">
        <v>371</v>
      </c>
      <c r="K26" s="1" t="s">
        <v>222</v>
      </c>
      <c r="L26" s="1" t="s">
        <v>810</v>
      </c>
      <c r="M26" s="1" t="s">
        <v>757</v>
      </c>
      <c r="N26" s="1" t="s">
        <v>387</v>
      </c>
      <c r="O26" s="1" t="s">
        <v>1538</v>
      </c>
      <c r="P26" s="1" t="s">
        <v>1603</v>
      </c>
      <c r="Q26" s="1" t="s">
        <v>1604</v>
      </c>
      <c r="R26" s="1" t="s">
        <v>386</v>
      </c>
      <c r="S26" s="6" t="s">
        <v>2393</v>
      </c>
      <c r="T26" s="6" t="s">
        <v>2394</v>
      </c>
      <c r="U26" s="6" t="s">
        <v>2395</v>
      </c>
      <c r="V26" s="6" t="s">
        <v>2396</v>
      </c>
      <c r="W26" s="15" t="s">
        <v>1605</v>
      </c>
      <c r="X26" s="1">
        <v>3</v>
      </c>
      <c r="Y26" s="1">
        <v>3</v>
      </c>
      <c r="Z26" s="20"/>
      <c r="AA26" s="20"/>
      <c r="AB26" s="20"/>
      <c r="AC26" s="20"/>
      <c r="AD26" s="20"/>
      <c r="AE26" s="20"/>
      <c r="AF26" s="20"/>
      <c r="AG26" s="20"/>
      <c r="AH26" s="20"/>
      <c r="AI26" s="20"/>
      <c r="AJ26" s="20"/>
      <c r="AK26" s="23"/>
      <c r="AL26" s="23"/>
    </row>
    <row r="27" spans="1:137" ht="55.95" customHeight="1" x14ac:dyDescent="0.3">
      <c r="A27" s="1">
        <v>26</v>
      </c>
      <c r="B27" s="6" t="s">
        <v>1304</v>
      </c>
      <c r="C27" s="10" t="s">
        <v>1314</v>
      </c>
      <c r="D27" s="7">
        <v>2025</v>
      </c>
      <c r="E27" s="13" t="s">
        <v>752</v>
      </c>
      <c r="F27" s="7">
        <v>2</v>
      </c>
      <c r="G27" s="1" t="str">
        <f>IFERROR(LEFT(C27, FIND(";", C27) - 1), C27)</f>
        <v>Dou, R.</v>
      </c>
      <c r="H27" s="28" t="s">
        <v>1325</v>
      </c>
      <c r="I27" s="15" t="s">
        <v>1334</v>
      </c>
      <c r="J27" s="1" t="s">
        <v>371</v>
      </c>
      <c r="K27" s="1" t="s">
        <v>775</v>
      </c>
      <c r="L27" s="1" t="s">
        <v>1620</v>
      </c>
      <c r="M27" s="1" t="s">
        <v>435</v>
      </c>
      <c r="N27" s="1" t="s">
        <v>387</v>
      </c>
      <c r="O27" s="1" t="s">
        <v>1538</v>
      </c>
      <c r="P27" s="1" t="s">
        <v>1621</v>
      </c>
      <c r="Q27" s="1" t="s">
        <v>1622</v>
      </c>
      <c r="R27" s="1" t="s">
        <v>386</v>
      </c>
      <c r="S27" s="6" t="s">
        <v>2397</v>
      </c>
      <c r="T27" s="6" t="s">
        <v>2398</v>
      </c>
      <c r="U27" s="6" t="s">
        <v>2399</v>
      </c>
      <c r="V27" s="6" t="s">
        <v>2400</v>
      </c>
      <c r="W27" s="15"/>
      <c r="X27" s="1">
        <v>3</v>
      </c>
      <c r="Y27" s="1">
        <v>4</v>
      </c>
      <c r="Z27" s="20"/>
      <c r="AA27" s="20"/>
      <c r="AB27" s="20"/>
      <c r="AC27" s="20"/>
      <c r="AD27" s="20"/>
      <c r="AE27" s="20"/>
      <c r="AF27" s="20"/>
      <c r="AG27" s="20"/>
      <c r="AH27" s="20"/>
      <c r="AI27" s="20"/>
      <c r="AJ27" s="20"/>
      <c r="AK27" s="23"/>
      <c r="AL27" s="23"/>
    </row>
    <row r="28" spans="1:137" ht="55.95" customHeight="1" x14ac:dyDescent="0.3">
      <c r="A28" s="1">
        <v>27</v>
      </c>
      <c r="B28" s="6" t="s">
        <v>1313</v>
      </c>
      <c r="C28" s="10" t="s">
        <v>1323</v>
      </c>
      <c r="D28" s="7">
        <v>2025</v>
      </c>
      <c r="E28" s="13" t="s">
        <v>60</v>
      </c>
      <c r="F28" s="7">
        <v>1</v>
      </c>
      <c r="G28" s="1" t="str">
        <f t="shared" ref="G28:G34" si="3">IFERROR(LEFT(C28, FIND(";", C28) - 1), C28)</f>
        <v>Joglekar, N.</v>
      </c>
      <c r="H28" s="28" t="s">
        <v>1333</v>
      </c>
      <c r="I28" s="15" t="s">
        <v>1343</v>
      </c>
      <c r="J28" s="1" t="s">
        <v>371</v>
      </c>
      <c r="K28" s="1" t="s">
        <v>222</v>
      </c>
      <c r="L28" s="1" t="s">
        <v>733</v>
      </c>
      <c r="N28" s="1" t="s">
        <v>387</v>
      </c>
      <c r="O28" s="1" t="s">
        <v>1538</v>
      </c>
      <c r="P28" s="1" t="s">
        <v>1648</v>
      </c>
      <c r="Q28" s="1" t="s">
        <v>1649</v>
      </c>
      <c r="R28" s="1" t="s">
        <v>386</v>
      </c>
      <c r="S28" s="6" t="s">
        <v>2401</v>
      </c>
      <c r="T28" s="6" t="s">
        <v>2402</v>
      </c>
      <c r="V28" s="6" t="s">
        <v>2403</v>
      </c>
      <c r="W28" s="15"/>
      <c r="X28" s="1">
        <v>4</v>
      </c>
      <c r="Y28" s="1">
        <v>4</v>
      </c>
      <c r="AA28"/>
      <c r="AB28"/>
      <c r="AC28" s="20"/>
      <c r="AD28" s="20"/>
      <c r="AE28" s="20"/>
      <c r="AF28" s="20"/>
      <c r="AG28" s="20"/>
      <c r="AH28" s="20"/>
      <c r="AI28" s="20"/>
      <c r="AJ28" s="20"/>
    </row>
    <row r="29" spans="1:137" ht="55.95" customHeight="1" x14ac:dyDescent="0.3">
      <c r="A29" s="1">
        <v>28</v>
      </c>
      <c r="B29" s="6" t="s">
        <v>1344</v>
      </c>
      <c r="C29" s="10" t="s">
        <v>1372</v>
      </c>
      <c r="D29" s="7">
        <v>2025</v>
      </c>
      <c r="E29" s="13" t="s">
        <v>60</v>
      </c>
      <c r="F29" s="7">
        <v>0</v>
      </c>
      <c r="G29" s="1" t="str">
        <f t="shared" si="3"/>
        <v>Zouaghi, I.</v>
      </c>
      <c r="H29" s="28" t="s">
        <v>1382</v>
      </c>
      <c r="I29" s="15" t="s">
        <v>1361</v>
      </c>
      <c r="J29" s="1" t="s">
        <v>371</v>
      </c>
      <c r="K29" s="1" t="s">
        <v>222</v>
      </c>
      <c r="L29" s="1" t="s">
        <v>733</v>
      </c>
      <c r="M29" s="1" t="s">
        <v>217</v>
      </c>
      <c r="N29" s="1" t="s">
        <v>387</v>
      </c>
      <c r="O29" s="1" t="s">
        <v>1650</v>
      </c>
      <c r="Q29" s="1" t="s">
        <v>1651</v>
      </c>
      <c r="R29" s="1" t="s">
        <v>386</v>
      </c>
      <c r="S29" s="6" t="s">
        <v>2404</v>
      </c>
      <c r="T29" s="6" t="s">
        <v>2405</v>
      </c>
      <c r="U29" s="6" t="s">
        <v>2406</v>
      </c>
      <c r="V29" s="6" t="s">
        <v>2407</v>
      </c>
      <c r="W29" s="15"/>
      <c r="X29" s="1">
        <v>4</v>
      </c>
      <c r="Y29" s="1">
        <v>4</v>
      </c>
      <c r="AA29"/>
      <c r="AB29"/>
    </row>
    <row r="30" spans="1:137" ht="55.95" customHeight="1" x14ac:dyDescent="0.3">
      <c r="A30" s="1">
        <v>29</v>
      </c>
      <c r="B30" s="6" t="s">
        <v>1345</v>
      </c>
      <c r="C30" s="10" t="s">
        <v>1373</v>
      </c>
      <c r="D30" s="7">
        <v>2025</v>
      </c>
      <c r="E30" s="13" t="s">
        <v>61</v>
      </c>
      <c r="F30" s="7">
        <v>0</v>
      </c>
      <c r="G30" s="1" t="str">
        <f t="shared" si="3"/>
        <v>He, M.</v>
      </c>
      <c r="H30" s="28" t="s">
        <v>1356</v>
      </c>
      <c r="I30" s="15" t="s">
        <v>1362</v>
      </c>
      <c r="J30" s="1" t="s">
        <v>371</v>
      </c>
      <c r="K30" s="1" t="s">
        <v>222</v>
      </c>
      <c r="L30" s="1" t="s">
        <v>1652</v>
      </c>
      <c r="M30" s="1" t="s">
        <v>757</v>
      </c>
      <c r="N30" s="1" t="s">
        <v>383</v>
      </c>
      <c r="O30" s="1" t="s">
        <v>1653</v>
      </c>
      <c r="Q30" s="1" t="s">
        <v>881</v>
      </c>
      <c r="R30" s="1" t="s">
        <v>386</v>
      </c>
      <c r="S30" s="6" t="s">
        <v>2408</v>
      </c>
      <c r="T30" s="6" t="s">
        <v>2409</v>
      </c>
      <c r="X30" s="1">
        <v>4</v>
      </c>
      <c r="Y30" s="1">
        <v>2</v>
      </c>
      <c r="AA30"/>
      <c r="AB30"/>
    </row>
    <row r="31" spans="1:137" ht="55.95" customHeight="1" x14ac:dyDescent="0.3">
      <c r="A31" s="7">
        <v>30</v>
      </c>
      <c r="B31" s="6" t="s">
        <v>1346</v>
      </c>
      <c r="C31" s="10" t="s">
        <v>1374</v>
      </c>
      <c r="D31" s="7">
        <v>2025</v>
      </c>
      <c r="E31" s="13" t="s">
        <v>862</v>
      </c>
      <c r="F31" s="7">
        <v>0</v>
      </c>
      <c r="G31" s="1" t="str">
        <f t="shared" si="3"/>
        <v>Li, R.</v>
      </c>
      <c r="H31" s="28" t="s">
        <v>1324</v>
      </c>
      <c r="I31" s="15" t="s">
        <v>1363</v>
      </c>
      <c r="J31" s="1" t="s">
        <v>371</v>
      </c>
      <c r="K31" s="1" t="s">
        <v>222</v>
      </c>
      <c r="L31" s="1" t="s">
        <v>810</v>
      </c>
      <c r="M31" s="1" t="s">
        <v>757</v>
      </c>
      <c r="N31" s="1" t="s">
        <v>387</v>
      </c>
      <c r="O31" s="1" t="s">
        <v>1538</v>
      </c>
      <c r="Q31" s="1" t="s">
        <v>1654</v>
      </c>
      <c r="S31" s="6" t="s">
        <v>2410</v>
      </c>
      <c r="T31" s="6" t="s">
        <v>2411</v>
      </c>
      <c r="U31" s="6" t="s">
        <v>2412</v>
      </c>
      <c r="V31" s="6" t="s">
        <v>2413</v>
      </c>
      <c r="W31" s="6" t="s">
        <v>1655</v>
      </c>
      <c r="X31" s="1">
        <v>4</v>
      </c>
      <c r="Y31" s="1">
        <v>4</v>
      </c>
    </row>
    <row r="32" spans="1:137" ht="55.95" customHeight="1" x14ac:dyDescent="0.3">
      <c r="A32" s="7">
        <v>31</v>
      </c>
      <c r="B32" s="6" t="s">
        <v>1347</v>
      </c>
      <c r="C32" s="10" t="s">
        <v>1375</v>
      </c>
      <c r="D32" s="7">
        <v>2025</v>
      </c>
      <c r="E32" s="13" t="s">
        <v>60</v>
      </c>
      <c r="F32" s="7">
        <v>2</v>
      </c>
      <c r="G32" s="1" t="str">
        <f t="shared" si="3"/>
        <v>Lin, K.-Y.</v>
      </c>
      <c r="H32" s="28" t="s">
        <v>1357</v>
      </c>
      <c r="I32" s="15" t="s">
        <v>1364</v>
      </c>
      <c r="J32" s="1" t="s">
        <v>371</v>
      </c>
      <c r="K32" s="1" t="s">
        <v>222</v>
      </c>
      <c r="L32" s="1" t="s">
        <v>402</v>
      </c>
      <c r="M32" s="1" t="s">
        <v>217</v>
      </c>
      <c r="N32" s="1" t="s">
        <v>387</v>
      </c>
      <c r="O32" s="1" t="s">
        <v>1538</v>
      </c>
      <c r="Q32" s="1" t="s">
        <v>1656</v>
      </c>
      <c r="R32" s="1" t="s">
        <v>423</v>
      </c>
      <c r="S32" s="6" t="s">
        <v>2414</v>
      </c>
      <c r="T32" s="6" t="s">
        <v>2415</v>
      </c>
      <c r="V32" s="6" t="s">
        <v>2416</v>
      </c>
    </row>
    <row r="33" spans="1:25" ht="55.95" customHeight="1" x14ac:dyDescent="0.3">
      <c r="A33" s="7">
        <v>32</v>
      </c>
      <c r="B33" s="6" t="s">
        <v>1348</v>
      </c>
      <c r="C33" s="10" t="s">
        <v>1376</v>
      </c>
      <c r="D33" s="7">
        <v>2025</v>
      </c>
      <c r="E33" s="13" t="s">
        <v>862</v>
      </c>
      <c r="F33" s="7">
        <v>0</v>
      </c>
      <c r="G33" s="1" t="str">
        <f t="shared" si="3"/>
        <v>Ruangkanjanases, A.</v>
      </c>
      <c r="H33" s="28" t="s">
        <v>1383</v>
      </c>
      <c r="I33" s="15" t="s">
        <v>1365</v>
      </c>
      <c r="J33" s="1" t="s">
        <v>371</v>
      </c>
      <c r="K33" s="1" t="s">
        <v>222</v>
      </c>
      <c r="L33" s="1" t="s">
        <v>810</v>
      </c>
      <c r="M33" s="1" t="s">
        <v>435</v>
      </c>
      <c r="N33" s="1" t="s">
        <v>383</v>
      </c>
      <c r="Q33" s="1" t="s">
        <v>1657</v>
      </c>
      <c r="R33" s="1" t="s">
        <v>386</v>
      </c>
      <c r="S33" s="6" t="s">
        <v>2417</v>
      </c>
      <c r="T33" s="6" t="s">
        <v>2418</v>
      </c>
      <c r="W33" s="6" t="s">
        <v>1658</v>
      </c>
      <c r="X33" s="1">
        <v>4</v>
      </c>
      <c r="Y33" s="1">
        <v>3</v>
      </c>
    </row>
    <row r="34" spans="1:25" ht="55.95" customHeight="1" x14ac:dyDescent="0.3">
      <c r="A34" s="7">
        <v>33</v>
      </c>
      <c r="B34" s="6" t="s">
        <v>1349</v>
      </c>
      <c r="C34" s="10" t="s">
        <v>1377</v>
      </c>
      <c r="D34" s="7">
        <v>2025</v>
      </c>
      <c r="E34" s="13" t="s">
        <v>1355</v>
      </c>
      <c r="F34" s="7">
        <v>3</v>
      </c>
      <c r="G34" s="1" t="str">
        <f t="shared" si="3"/>
        <v>Aslam, J.</v>
      </c>
      <c r="H34" s="28" t="s">
        <v>1358</v>
      </c>
      <c r="I34" s="15" t="s">
        <v>1366</v>
      </c>
      <c r="J34" s="1" t="s">
        <v>371</v>
      </c>
      <c r="K34" s="1" t="s">
        <v>222</v>
      </c>
      <c r="L34" s="1" t="s">
        <v>810</v>
      </c>
      <c r="M34" s="1" t="s">
        <v>435</v>
      </c>
      <c r="N34" s="1" t="s">
        <v>387</v>
      </c>
      <c r="Q34" s="1" t="s">
        <v>1659</v>
      </c>
      <c r="R34" s="1" t="s">
        <v>386</v>
      </c>
      <c r="S34" s="6" t="s">
        <v>2419</v>
      </c>
      <c r="T34" s="6" t="s">
        <v>2420</v>
      </c>
      <c r="U34" s="6" t="s">
        <v>2421</v>
      </c>
      <c r="V34" s="6" t="s">
        <v>2422</v>
      </c>
      <c r="X34" s="1">
        <v>4</v>
      </c>
      <c r="Y34" s="1">
        <v>4</v>
      </c>
    </row>
    <row r="35" spans="1:25" ht="55.95" customHeight="1" x14ac:dyDescent="0.3">
      <c r="A35" s="7">
        <v>35</v>
      </c>
      <c r="B35" s="6" t="s">
        <v>1352</v>
      </c>
      <c r="C35" s="10" t="s">
        <v>1380</v>
      </c>
      <c r="D35" s="7">
        <v>2025</v>
      </c>
      <c r="E35" s="13" t="s">
        <v>862</v>
      </c>
      <c r="F35" s="7">
        <v>2</v>
      </c>
      <c r="G35" s="1" t="str">
        <f>IFERROR(LEFT(C35, FIND(";", C35) - 1), C35)</f>
        <v>Lin, K.-Y.</v>
      </c>
      <c r="H35" s="28" t="s">
        <v>1357</v>
      </c>
      <c r="I35" s="15" t="s">
        <v>1369</v>
      </c>
      <c r="J35" s="1" t="s">
        <v>371</v>
      </c>
      <c r="K35" s="1" t="s">
        <v>222</v>
      </c>
      <c r="L35" s="1" t="s">
        <v>408</v>
      </c>
      <c r="M35" s="1" t="s">
        <v>217</v>
      </c>
      <c r="N35" s="1" t="s">
        <v>387</v>
      </c>
      <c r="O35" s="1" t="s">
        <v>504</v>
      </c>
      <c r="Q35" s="1" t="s">
        <v>1672</v>
      </c>
      <c r="R35" s="1" t="s">
        <v>423</v>
      </c>
      <c r="S35" s="6" t="s">
        <v>2423</v>
      </c>
      <c r="T35" s="6" t="s">
        <v>2424</v>
      </c>
      <c r="U35" s="6" t="s">
        <v>2425</v>
      </c>
      <c r="V35" s="6" t="s">
        <v>2426</v>
      </c>
      <c r="W35" s="6" t="s">
        <v>1673</v>
      </c>
      <c r="X35" s="1">
        <v>4</v>
      </c>
      <c r="Y35" s="1">
        <v>4</v>
      </c>
    </row>
    <row r="36" spans="1:25" ht="55.95" customHeight="1" x14ac:dyDescent="0.3">
      <c r="A36" s="7">
        <v>36</v>
      </c>
      <c r="B36" s="6" t="s">
        <v>1353</v>
      </c>
      <c r="C36" s="10" t="s">
        <v>1381</v>
      </c>
      <c r="D36" s="7">
        <v>2025</v>
      </c>
      <c r="E36" s="13" t="s">
        <v>1355</v>
      </c>
      <c r="F36" s="7">
        <v>4</v>
      </c>
      <c r="G36" s="1" t="str">
        <f>IFERROR(LEFT(C36, FIND(";", C36) - 1), C36)</f>
        <v>Chan, H.-L.</v>
      </c>
      <c r="H36" s="28" t="s">
        <v>1360</v>
      </c>
      <c r="I36" s="15" t="s">
        <v>1370</v>
      </c>
      <c r="J36" s="1" t="s">
        <v>371</v>
      </c>
      <c r="K36" s="1" t="s">
        <v>775</v>
      </c>
      <c r="L36" s="1" t="s">
        <v>408</v>
      </c>
      <c r="M36" s="1" t="s">
        <v>435</v>
      </c>
      <c r="N36" s="1" t="s">
        <v>387</v>
      </c>
      <c r="O36" s="1" t="s">
        <v>1538</v>
      </c>
      <c r="S36" s="6" t="s">
        <v>2427</v>
      </c>
      <c r="T36" s="6" t="s">
        <v>2428</v>
      </c>
      <c r="U36" s="6" t="s">
        <v>2429</v>
      </c>
      <c r="V36" s="6" t="s">
        <v>2430</v>
      </c>
      <c r="W36" s="6" t="s">
        <v>1674</v>
      </c>
      <c r="X36" s="1">
        <v>4</v>
      </c>
      <c r="Y36" s="1">
        <v>4</v>
      </c>
    </row>
  </sheetData>
  <autoFilter ref="A1:EG36" xr:uid="{466106E7-4116-43CD-8637-2BFCA97213D2}"/>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AF9EB-C5AA-4072-8F6A-C3812F009428}">
  <dimension ref="A1:R35"/>
  <sheetViews>
    <sheetView zoomScale="85" zoomScaleNormal="85" workbookViewId="0">
      <selection activeCell="J33" sqref="J33"/>
    </sheetView>
  </sheetViews>
  <sheetFormatPr defaultRowHeight="14.7" customHeight="1" x14ac:dyDescent="0.3"/>
  <cols>
    <col min="1" max="1" width="12.21875" bestFit="1" customWidth="1"/>
    <col min="2" max="2" width="15.5546875" bestFit="1" customWidth="1"/>
    <col min="3" max="5" width="4.88671875" bestFit="1" customWidth="1"/>
    <col min="6" max="6" width="10.6640625" bestFit="1" customWidth="1"/>
    <col min="7" max="7" width="11.33203125" bestFit="1" customWidth="1"/>
    <col min="8" max="8" width="10.6640625" bestFit="1" customWidth="1"/>
    <col min="10" max="10" width="58.109375" bestFit="1" customWidth="1"/>
    <col min="11" max="11" width="25.21875" bestFit="1" customWidth="1"/>
    <col min="12" max="12" width="23.109375" customWidth="1"/>
    <col min="13" max="13" width="17.88671875" bestFit="1" customWidth="1"/>
    <col min="14" max="14" width="18.44140625" bestFit="1" customWidth="1"/>
    <col min="15" max="15" width="59.5546875" style="20" customWidth="1"/>
    <col min="16" max="16" width="11.6640625" customWidth="1"/>
    <col min="17" max="17" width="123.33203125" bestFit="1" customWidth="1"/>
    <col min="18" max="18" width="27.109375" bestFit="1" customWidth="1"/>
  </cols>
  <sheetData>
    <row r="1" spans="1:18" ht="14.7" customHeight="1" x14ac:dyDescent="0.3">
      <c r="B1" s="3" t="s">
        <v>205</v>
      </c>
      <c r="J1" s="3" t="s">
        <v>207</v>
      </c>
      <c r="K1" t="s">
        <v>209</v>
      </c>
      <c r="M1" s="3" t="s">
        <v>207</v>
      </c>
      <c r="N1" t="s">
        <v>210</v>
      </c>
      <c r="O1" s="2" t="s">
        <v>219</v>
      </c>
      <c r="P1" s="2"/>
      <c r="Q1" s="3" t="s">
        <v>207</v>
      </c>
      <c r="R1" t="s">
        <v>211</v>
      </c>
    </row>
    <row r="2" spans="1:18" ht="14.4" x14ac:dyDescent="0.3">
      <c r="B2">
        <v>2023</v>
      </c>
      <c r="C2">
        <v>2024</v>
      </c>
      <c r="D2">
        <v>2025</v>
      </c>
      <c r="E2">
        <v>2026</v>
      </c>
      <c r="F2" t="s">
        <v>206</v>
      </c>
      <c r="J2" s="4" t="s">
        <v>60</v>
      </c>
      <c r="K2">
        <v>8</v>
      </c>
      <c r="M2" s="5" t="s">
        <v>753</v>
      </c>
      <c r="N2">
        <v>2</v>
      </c>
      <c r="O2" s="20" t="str">
        <f>_xlfn.XLOOKUP(M2, 'MGT articles'!G:G, 'MGT articles'!H:H, "Not found")</f>
        <v>TBS Business School, Toulouse, France</v>
      </c>
      <c r="Q2" s="4" t="s">
        <v>754</v>
      </c>
      <c r="R2">
        <v>2</v>
      </c>
    </row>
    <row r="3" spans="1:18" ht="28.8" x14ac:dyDescent="0.3">
      <c r="A3" t="s">
        <v>208</v>
      </c>
      <c r="B3">
        <v>3</v>
      </c>
      <c r="C3">
        <v>9</v>
      </c>
      <c r="D3">
        <v>22</v>
      </c>
      <c r="E3">
        <v>1</v>
      </c>
      <c r="F3">
        <v>35</v>
      </c>
      <c r="J3" s="4" t="s">
        <v>65</v>
      </c>
      <c r="K3">
        <v>1</v>
      </c>
      <c r="M3" s="5" t="s">
        <v>824</v>
      </c>
      <c r="N3">
        <v>2</v>
      </c>
      <c r="O3" s="20" t="str">
        <f>_xlfn.XLOOKUP(M3, 'MGT articles'!G:G, 'MGT articles'!H:H, "Not found")</f>
        <v>School of Economics and Management, Xi'an University of Technology, Xi'an, 710054, China</v>
      </c>
      <c r="Q3" s="4" t="s">
        <v>825</v>
      </c>
      <c r="R3">
        <v>2</v>
      </c>
    </row>
    <row r="4" spans="1:18" ht="14.7" customHeight="1" x14ac:dyDescent="0.3">
      <c r="J4" s="4" t="s">
        <v>56</v>
      </c>
      <c r="K4">
        <v>1</v>
      </c>
      <c r="M4" s="4" t="s">
        <v>1380</v>
      </c>
      <c r="N4">
        <v>2</v>
      </c>
      <c r="O4" s="20" t="str">
        <f>_xlfn.XLOOKUP(M4, 'MGT articles'!G:G, 'MGT articles'!H:H, "Not found")</f>
        <v>Department of Industrial Engineering and Management, National Kaohsiung University of Science and Technology, Kaohsiung, Taiwan</v>
      </c>
      <c r="Q4" s="4" t="s">
        <v>1357</v>
      </c>
      <c r="R4">
        <v>2</v>
      </c>
    </row>
    <row r="5" spans="1:18" ht="14.7" customHeight="1" x14ac:dyDescent="0.3">
      <c r="J5" s="4" t="s">
        <v>831</v>
      </c>
      <c r="K5">
        <v>2</v>
      </c>
      <c r="M5" s="4" t="s">
        <v>876</v>
      </c>
      <c r="N5">
        <v>1</v>
      </c>
      <c r="O5" s="20" t="str">
        <f>_xlfn.XLOOKUP(M5, 'MGT articles'!G:G, 'MGT articles'!H:H, "Not found")</f>
        <v>School of Economics and Management, China University of Petroleum-Beijing, Beijing, 102249, China</v>
      </c>
      <c r="Q5" s="4" t="s">
        <v>877</v>
      </c>
      <c r="R5">
        <v>1</v>
      </c>
    </row>
    <row r="6" spans="1:18" ht="14.7" customHeight="1" x14ac:dyDescent="0.3">
      <c r="J6" s="4" t="s">
        <v>372</v>
      </c>
      <c r="M6" s="4" t="s">
        <v>1439</v>
      </c>
      <c r="N6">
        <v>1</v>
      </c>
      <c r="O6" s="20" t="str">
        <f>_xlfn.XLOOKUP(M6, 'MGT articles'!G:G, 'MGT articles'!H:H, "Not found")</f>
        <v>School of Economics and Management, Xi'an University of Technology, Xi'an, Shaanxi, China</v>
      </c>
      <c r="Q6" s="4" t="s">
        <v>1356</v>
      </c>
      <c r="R6">
        <v>1</v>
      </c>
    </row>
    <row r="7" spans="1:18" ht="14.7" customHeight="1" x14ac:dyDescent="0.3">
      <c r="J7" s="4" t="s">
        <v>797</v>
      </c>
      <c r="K7">
        <v>3</v>
      </c>
      <c r="M7" s="4" t="s">
        <v>1387</v>
      </c>
      <c r="N7">
        <v>1</v>
      </c>
      <c r="O7" s="20" t="str">
        <f>_xlfn.XLOOKUP(M7, 'MGT articles'!G:G, 'MGT articles'!H:H, "Not found")</f>
        <v>International Business School, Fuzhou University of Foreign Studies and Trade, Fuzhou, Fujian, China</v>
      </c>
      <c r="Q7" s="4" t="s">
        <v>1260</v>
      </c>
      <c r="R7">
        <v>1</v>
      </c>
    </row>
    <row r="8" spans="1:18" ht="14.7" customHeight="1" x14ac:dyDescent="0.3">
      <c r="J8" s="4" t="s">
        <v>763</v>
      </c>
      <c r="K8">
        <v>1</v>
      </c>
      <c r="M8" s="4" t="s">
        <v>899</v>
      </c>
      <c r="N8">
        <v>1</v>
      </c>
      <c r="O8" s="20" t="str">
        <f>_xlfn.XLOOKUP(M8, 'MGT articles'!G:G, 'MGT articles'!H:H, "Not found")</f>
        <v>Guangdong Provincial Key Laboratory of Cyber-Physical System, Guangdong University of Technology, Guangzhou, China</v>
      </c>
      <c r="Q8" s="4" t="s">
        <v>856</v>
      </c>
      <c r="R8">
        <v>1</v>
      </c>
    </row>
    <row r="9" spans="1:18" ht="14.7" customHeight="1" x14ac:dyDescent="0.3">
      <c r="J9" s="4" t="s">
        <v>752</v>
      </c>
      <c r="K9">
        <v>6</v>
      </c>
      <c r="M9" s="4" t="s">
        <v>885</v>
      </c>
      <c r="N9">
        <v>1</v>
      </c>
      <c r="O9" s="20" t="str">
        <f>_xlfn.XLOOKUP(M9, 'MGT articles'!G:G, 'MGT articles'!H:H, "Not found")</f>
        <v>School of Business and Management, Jilin University, Changchun, China</v>
      </c>
      <c r="Q9" s="4" t="s">
        <v>893</v>
      </c>
      <c r="R9">
        <v>1</v>
      </c>
    </row>
    <row r="10" spans="1:18" ht="14.7" customHeight="1" x14ac:dyDescent="0.3">
      <c r="J10" s="4" t="s">
        <v>816</v>
      </c>
      <c r="K10">
        <v>2</v>
      </c>
      <c r="M10" s="4" t="s">
        <v>855</v>
      </c>
      <c r="N10">
        <v>1</v>
      </c>
      <c r="O10" s="20" t="str">
        <f>_xlfn.XLOOKUP(M10, 'MGT articles'!G:G, 'MGT articles'!H:H, "Not found")</f>
        <v>International Business School, Fuzhou University of International Studies and Trade, Fuzhou, China</v>
      </c>
      <c r="Q10" s="4" t="s">
        <v>799</v>
      </c>
      <c r="R10">
        <v>1</v>
      </c>
    </row>
    <row r="11" spans="1:18" ht="14.7" customHeight="1" x14ac:dyDescent="0.3">
      <c r="J11" s="4" t="s">
        <v>73</v>
      </c>
      <c r="K11">
        <v>1</v>
      </c>
      <c r="M11" s="4" t="s">
        <v>1395</v>
      </c>
      <c r="N11">
        <v>1</v>
      </c>
      <c r="O11" s="20" t="str">
        <f>_xlfn.XLOOKUP(M11, 'MGT articles'!G:G, 'MGT articles'!H:H, "Not found")</f>
        <v>School of Business, Wenzhou University, Wenzhou, Zhejiang, China</v>
      </c>
      <c r="Q11" s="4" t="s">
        <v>1171</v>
      </c>
      <c r="R11">
        <v>1</v>
      </c>
    </row>
    <row r="12" spans="1:18" ht="14.7" customHeight="1" x14ac:dyDescent="0.3">
      <c r="J12" s="4" t="s">
        <v>862</v>
      </c>
      <c r="K12">
        <v>7</v>
      </c>
      <c r="M12" s="4" t="s">
        <v>798</v>
      </c>
      <c r="N12">
        <v>1</v>
      </c>
      <c r="O12" s="20" t="str">
        <f>_xlfn.XLOOKUP(M12, 'MGT articles'!G:G, 'MGT articles'!H:H, "Not found")</f>
        <v>Division of Industrial Engineering and Management, Uppsala University, Uppsala, Sweden</v>
      </c>
      <c r="Q12" s="4" t="s">
        <v>773</v>
      </c>
      <c r="R12">
        <v>1</v>
      </c>
    </row>
    <row r="13" spans="1:18" ht="14.7" customHeight="1" x14ac:dyDescent="0.3">
      <c r="J13" s="4" t="s">
        <v>61</v>
      </c>
      <c r="K13">
        <v>1</v>
      </c>
      <c r="M13" s="4" t="s">
        <v>1442</v>
      </c>
      <c r="N13">
        <v>1</v>
      </c>
      <c r="O13" s="20" t="str">
        <f>_xlfn.XLOOKUP(M13, 'MGT articles'!G:G, 'MGT articles'!H:H, "Not found")</f>
        <v>Villanova University, Villanova, PA, United States</v>
      </c>
      <c r="Q13" s="4" t="s">
        <v>1333</v>
      </c>
      <c r="R13">
        <v>1</v>
      </c>
    </row>
    <row r="14" spans="1:18" ht="14.7" customHeight="1" x14ac:dyDescent="0.3">
      <c r="J14" s="4" t="s">
        <v>1355</v>
      </c>
      <c r="K14">
        <v>2</v>
      </c>
      <c r="M14" s="4" t="s">
        <v>892</v>
      </c>
      <c r="N14">
        <v>1</v>
      </c>
      <c r="O14" s="20" t="str">
        <f>_xlfn.XLOOKUP(M14, 'MGT articles'!G:G, 'MGT articles'!H:H, "Not found")</f>
        <v>Business School, University of Bristol, Bristol, United Kingdom</v>
      </c>
      <c r="Q14" s="4" t="s">
        <v>347</v>
      </c>
      <c r="R14">
        <v>1</v>
      </c>
    </row>
    <row r="15" spans="1:18" ht="14.7" customHeight="1" x14ac:dyDescent="0.3">
      <c r="J15" s="4" t="s">
        <v>206</v>
      </c>
      <c r="K15">
        <v>35</v>
      </c>
      <c r="M15" s="4" t="s">
        <v>1450</v>
      </c>
      <c r="N15">
        <v>1</v>
      </c>
      <c r="O15" s="20" t="str">
        <f>_xlfn.XLOOKUP(M15, 'MGT articles'!G:G, 'MGT articles'!H:H, "Not found")</f>
        <v>School of Fashion and Textiles, The Hong Kong Polytechnic University, Hong Kong, Hong Kong, Hong Kong</v>
      </c>
      <c r="Q15" s="4" t="s">
        <v>1360</v>
      </c>
      <c r="R15">
        <v>1</v>
      </c>
    </row>
    <row r="16" spans="1:18" ht="14.7" customHeight="1" x14ac:dyDescent="0.3">
      <c r="M16" s="4" t="s">
        <v>764</v>
      </c>
      <c r="N16">
        <v>1</v>
      </c>
      <c r="O16" s="20" t="str">
        <f>_xlfn.XLOOKUP(M16, 'MGT articles'!G:G, 'MGT articles'!H:H, "Not found")</f>
        <v>Carnegie Mellon University, United States</v>
      </c>
      <c r="Q16" s="4" t="s">
        <v>343</v>
      </c>
      <c r="R16">
        <v>1</v>
      </c>
    </row>
    <row r="17" spans="12:18" ht="14.7" customHeight="1" x14ac:dyDescent="0.3">
      <c r="M17" s="4" t="s">
        <v>903</v>
      </c>
      <c r="N17">
        <v>1</v>
      </c>
      <c r="O17" s="20" t="str">
        <f>_xlfn.XLOOKUP(M17, 'MGT articles'!G:G, 'MGT articles'!H:H, "Not found")</f>
        <v>Logistics Institute, Department of Organization and Management, Silesian University of Technology, Zabrze, Poland</v>
      </c>
      <c r="Q17" s="4" t="s">
        <v>904</v>
      </c>
      <c r="R17">
        <v>1</v>
      </c>
    </row>
    <row r="18" spans="12:18" ht="28.8" x14ac:dyDescent="0.3">
      <c r="M18" s="5" t="s">
        <v>325</v>
      </c>
      <c r="N18">
        <v>1</v>
      </c>
      <c r="O18" s="20" t="str">
        <f>_xlfn.XLOOKUP(M18, 'MGT articles'!G:G, 'MGT articles'!H:H, "Not found")</f>
        <v>Center for Transportation &amp; Logistics, Massachusetts Institute of Technology, Cambridge, MA, United States</v>
      </c>
      <c r="Q18" s="4" t="s">
        <v>808</v>
      </c>
      <c r="R18">
        <v>1</v>
      </c>
    </row>
    <row r="19" spans="12:18" ht="14.7" customHeight="1" x14ac:dyDescent="0.3">
      <c r="M19" s="4" t="s">
        <v>1416</v>
      </c>
      <c r="N19">
        <v>1</v>
      </c>
      <c r="O19" s="20" t="str">
        <f>_xlfn.XLOOKUP(M19, 'MGT articles'!G:G, 'MGT articles'!H:H, "Not found")</f>
        <v>Department of Management, Technology, and Economics, ETH Zurich, Zurich, Switzerland</v>
      </c>
      <c r="Q19" s="4" t="s">
        <v>731</v>
      </c>
      <c r="R19">
        <v>1</v>
      </c>
    </row>
    <row r="20" spans="12:18" ht="14.7" customHeight="1" x14ac:dyDescent="0.3">
      <c r="M20" s="4" t="s">
        <v>807</v>
      </c>
      <c r="N20">
        <v>1</v>
      </c>
      <c r="O20" s="20" t="str">
        <f>_xlfn.XLOOKUP(M20, 'MGT articles'!G:G, 'MGT articles'!H:H, "Not found")</f>
        <v>The University of Aberdeen Business School, University of Aberdeen, Aberdeen, United Kingdom</v>
      </c>
      <c r="Q20" s="4" t="s">
        <v>818</v>
      </c>
      <c r="R20">
        <v>1</v>
      </c>
    </row>
    <row r="21" spans="12:18" ht="14.7" customHeight="1" x14ac:dyDescent="0.3">
      <c r="L21" s="14"/>
      <c r="M21" s="4" t="s">
        <v>1414</v>
      </c>
      <c r="N21">
        <v>1</v>
      </c>
      <c r="Q21" s="4" t="s">
        <v>1178</v>
      </c>
      <c r="R21">
        <v>1</v>
      </c>
    </row>
    <row r="22" spans="12:18" ht="14.7" customHeight="1" x14ac:dyDescent="0.3">
      <c r="L22" s="14"/>
      <c r="M22" s="4" t="s">
        <v>817</v>
      </c>
      <c r="N22">
        <v>1</v>
      </c>
      <c r="Q22" s="4" t="s">
        <v>350</v>
      </c>
      <c r="R22">
        <v>1</v>
      </c>
    </row>
    <row r="23" spans="12:18" ht="14.7" customHeight="1" x14ac:dyDescent="0.3">
      <c r="M23" s="4" t="s">
        <v>1438</v>
      </c>
      <c r="N23">
        <v>1</v>
      </c>
      <c r="Q23" s="4" t="s">
        <v>1325</v>
      </c>
      <c r="R23">
        <v>1</v>
      </c>
    </row>
    <row r="24" spans="12:18" ht="14.4" x14ac:dyDescent="0.3">
      <c r="M24" s="5" t="s">
        <v>129</v>
      </c>
      <c r="N24">
        <v>1</v>
      </c>
      <c r="Q24" s="4" t="s">
        <v>843</v>
      </c>
      <c r="R24">
        <v>1</v>
      </c>
    </row>
    <row r="25" spans="12:18" ht="14.7" customHeight="1" x14ac:dyDescent="0.3">
      <c r="M25" s="4" t="s">
        <v>1444</v>
      </c>
      <c r="N25">
        <v>1</v>
      </c>
      <c r="Q25" s="4" t="s">
        <v>1382</v>
      </c>
      <c r="R25">
        <v>1</v>
      </c>
    </row>
    <row r="26" spans="12:18" ht="14.7" customHeight="1" x14ac:dyDescent="0.3">
      <c r="M26" s="4" t="s">
        <v>1446</v>
      </c>
      <c r="N26">
        <v>1</v>
      </c>
      <c r="Q26" s="4" t="s">
        <v>1324</v>
      </c>
      <c r="R26">
        <v>1</v>
      </c>
    </row>
    <row r="27" spans="12:18" ht="14.7" customHeight="1" x14ac:dyDescent="0.3">
      <c r="M27" s="4" t="s">
        <v>871</v>
      </c>
      <c r="N27">
        <v>1</v>
      </c>
      <c r="Q27" s="4" t="s">
        <v>872</v>
      </c>
      <c r="R27">
        <v>1</v>
      </c>
    </row>
    <row r="28" spans="12:18" ht="14.7" customHeight="1" x14ac:dyDescent="0.3">
      <c r="M28" s="4" t="s">
        <v>1448</v>
      </c>
      <c r="N28">
        <v>1</v>
      </c>
      <c r="Q28" s="4" t="s">
        <v>1383</v>
      </c>
      <c r="R28">
        <v>1</v>
      </c>
    </row>
    <row r="29" spans="12:18" ht="14.7" customHeight="1" x14ac:dyDescent="0.3">
      <c r="M29" s="4" t="s">
        <v>842</v>
      </c>
      <c r="N29">
        <v>1</v>
      </c>
      <c r="Q29" s="4" t="s">
        <v>849</v>
      </c>
      <c r="R29">
        <v>1</v>
      </c>
    </row>
    <row r="30" spans="12:18" ht="14.7" customHeight="1" x14ac:dyDescent="0.3">
      <c r="L30" s="14"/>
      <c r="M30" s="4" t="s">
        <v>1407</v>
      </c>
      <c r="N30">
        <v>1</v>
      </c>
      <c r="Q30" s="4" t="s">
        <v>1358</v>
      </c>
      <c r="R30">
        <v>1</v>
      </c>
    </row>
    <row r="31" spans="12:18" ht="14.7" customHeight="1" x14ac:dyDescent="0.3">
      <c r="L31" s="14"/>
      <c r="M31" s="4" t="s">
        <v>848</v>
      </c>
      <c r="N31">
        <v>1</v>
      </c>
      <c r="Q31" s="4" t="s">
        <v>864</v>
      </c>
      <c r="R31">
        <v>1</v>
      </c>
    </row>
    <row r="32" spans="12:18" ht="14.7" customHeight="1" x14ac:dyDescent="0.3">
      <c r="M32" s="4" t="s">
        <v>832</v>
      </c>
      <c r="N32">
        <v>1</v>
      </c>
      <c r="Q32" s="4" t="s">
        <v>833</v>
      </c>
      <c r="R32">
        <v>1</v>
      </c>
    </row>
    <row r="33" spans="12:18" ht="14.7" customHeight="1" x14ac:dyDescent="0.3">
      <c r="L33" s="14"/>
      <c r="M33" s="4" t="s">
        <v>863</v>
      </c>
      <c r="N33">
        <v>1</v>
      </c>
      <c r="Q33" s="4" t="s">
        <v>886</v>
      </c>
      <c r="R33">
        <v>1</v>
      </c>
    </row>
    <row r="34" spans="12:18" ht="14.7" customHeight="1" x14ac:dyDescent="0.3">
      <c r="L34" s="14"/>
      <c r="M34" s="4" t="s">
        <v>372</v>
      </c>
      <c r="Q34" s="4" t="s">
        <v>372</v>
      </c>
    </row>
    <row r="35" spans="12:18" ht="14.7" customHeight="1" x14ac:dyDescent="0.3">
      <c r="M35" s="4" t="s">
        <v>206</v>
      </c>
      <c r="N35">
        <v>35</v>
      </c>
      <c r="Q35" s="4" t="s">
        <v>206</v>
      </c>
      <c r="R35">
        <v>35</v>
      </c>
    </row>
  </sheetData>
  <pageMargins left="0.7" right="0.7" top="0.75" bottom="0.75" header="0.3" footer="0.3"/>
  <drawing r:id="rId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DA363-D51F-4CCE-BADF-86383B61A552}">
  <dimension ref="A1:DE40"/>
  <sheetViews>
    <sheetView tabSelected="1" zoomScale="70" zoomScaleNormal="70" workbookViewId="0">
      <pane ySplit="1" topLeftCell="A13" activePane="bottomLeft" state="frozen"/>
      <selection pane="bottomLeft" activeCell="Q16" sqref="Q16"/>
    </sheetView>
  </sheetViews>
  <sheetFormatPr defaultRowHeight="14.4" x14ac:dyDescent="0.3"/>
  <cols>
    <col min="1" max="1" width="41.6640625" customWidth="1"/>
    <col min="2" max="2" width="13.5546875" style="35" customWidth="1"/>
    <col min="3" max="3" width="12.33203125" style="35" customWidth="1"/>
    <col min="4" max="4" width="13.5546875" customWidth="1"/>
    <col min="5" max="6" width="13.5546875" style="35" customWidth="1"/>
    <col min="7" max="7" width="17.6640625" customWidth="1"/>
    <col min="8" max="8" width="14.33203125" customWidth="1"/>
    <col min="9" max="9" width="15.88671875" style="35" customWidth="1"/>
    <col min="10" max="10" width="17.6640625" style="23" customWidth="1"/>
    <col min="11" max="11" width="13.5546875" style="35" customWidth="1"/>
    <col min="12" max="12" width="17.33203125" style="35" customWidth="1"/>
    <col min="13" max="13" width="30.33203125" customWidth="1"/>
    <col min="14" max="14" width="34.109375" customWidth="1"/>
    <col min="15" max="15" width="10.33203125" style="35" customWidth="1"/>
    <col min="16" max="16" width="11.88671875" style="35" customWidth="1"/>
    <col min="17" max="17" width="25.33203125" customWidth="1"/>
    <col min="18" max="18" width="21.5546875" style="20" customWidth="1"/>
    <col min="19" max="19" width="19.6640625" style="23" customWidth="1"/>
    <col min="20" max="20" width="11.88671875" style="23" customWidth="1"/>
    <col min="21" max="21" width="13.6640625" style="23" customWidth="1"/>
    <col min="22" max="22" width="11.88671875" style="23" customWidth="1"/>
  </cols>
  <sheetData>
    <row r="1" spans="1:109" s="2" customFormat="1" ht="79.2" customHeight="1" x14ac:dyDescent="0.3">
      <c r="A1" s="8" t="s">
        <v>0</v>
      </c>
      <c r="B1" s="8" t="s">
        <v>1</v>
      </c>
      <c r="C1" s="8" t="s">
        <v>2</v>
      </c>
      <c r="D1" s="12" t="s">
        <v>69</v>
      </c>
      <c r="E1" s="8" t="s">
        <v>71</v>
      </c>
      <c r="F1" s="8" t="s">
        <v>4</v>
      </c>
      <c r="G1" s="8" t="s">
        <v>5</v>
      </c>
      <c r="H1" s="8" t="s">
        <v>74</v>
      </c>
      <c r="I1" s="8" t="s">
        <v>1048</v>
      </c>
      <c r="J1" s="8" t="s">
        <v>220</v>
      </c>
      <c r="K1" s="8" t="s">
        <v>1047</v>
      </c>
      <c r="L1" s="8" t="s">
        <v>1046</v>
      </c>
      <c r="M1" s="8" t="s">
        <v>1045</v>
      </c>
      <c r="N1" s="8" t="s">
        <v>1044</v>
      </c>
      <c r="O1" s="9" t="s">
        <v>1043</v>
      </c>
      <c r="P1" s="8" t="s">
        <v>1042</v>
      </c>
      <c r="Q1" s="9" t="s">
        <v>1041</v>
      </c>
      <c r="R1" s="8" t="s">
        <v>1040</v>
      </c>
      <c r="S1" s="39" t="s">
        <v>1039</v>
      </c>
      <c r="T1" s="8" t="s">
        <v>1038</v>
      </c>
      <c r="U1" s="8" t="s">
        <v>1037</v>
      </c>
      <c r="V1" s="8" t="s">
        <v>1036</v>
      </c>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row>
    <row r="2" spans="1:109" s="30" customFormat="1" ht="59.25" customHeight="1" x14ac:dyDescent="0.3">
      <c r="A2" s="15" t="s">
        <v>1035</v>
      </c>
      <c r="B2" s="10" t="s">
        <v>1034</v>
      </c>
      <c r="C2" s="7">
        <v>2025</v>
      </c>
      <c r="D2" s="15" t="s">
        <v>62</v>
      </c>
      <c r="E2" s="7">
        <v>13</v>
      </c>
      <c r="F2" s="1" t="s">
        <v>1033</v>
      </c>
      <c r="G2" s="15" t="s">
        <v>1032</v>
      </c>
      <c r="H2" s="28" t="s">
        <v>1031</v>
      </c>
      <c r="I2" s="1" t="s">
        <v>1030</v>
      </c>
      <c r="J2" s="1" t="s">
        <v>930</v>
      </c>
      <c r="K2" s="37" t="s">
        <v>1019</v>
      </c>
      <c r="L2" s="1" t="s">
        <v>915</v>
      </c>
      <c r="M2" s="28" t="s">
        <v>1029</v>
      </c>
      <c r="N2" s="15" t="s">
        <v>1028</v>
      </c>
      <c r="O2" s="7">
        <v>4</v>
      </c>
      <c r="P2" s="1" t="s">
        <v>225</v>
      </c>
      <c r="Q2" s="15" t="s">
        <v>1027</v>
      </c>
      <c r="R2" s="28"/>
      <c r="S2" s="21" t="s">
        <v>910</v>
      </c>
      <c r="T2" s="21"/>
      <c r="U2" s="21"/>
      <c r="V2" s="21"/>
    </row>
    <row r="3" spans="1:109" s="30" customFormat="1" ht="59.25" customHeight="1" x14ac:dyDescent="0.3">
      <c r="A3" s="15" t="s">
        <v>1026</v>
      </c>
      <c r="B3" s="10" t="s">
        <v>1025</v>
      </c>
      <c r="C3" s="7">
        <v>2025</v>
      </c>
      <c r="D3" s="15" t="s">
        <v>62</v>
      </c>
      <c r="E3" s="7">
        <v>4</v>
      </c>
      <c r="F3" s="1" t="s">
        <v>1024</v>
      </c>
      <c r="G3" s="15" t="s">
        <v>1023</v>
      </c>
      <c r="H3" s="28" t="s">
        <v>1022</v>
      </c>
      <c r="I3" s="1" t="s">
        <v>1021</v>
      </c>
      <c r="J3" s="1" t="s">
        <v>1020</v>
      </c>
      <c r="K3" s="37" t="s">
        <v>1019</v>
      </c>
      <c r="L3" s="1" t="s">
        <v>1018</v>
      </c>
      <c r="M3" s="28" t="s">
        <v>1017</v>
      </c>
      <c r="N3" s="15" t="s">
        <v>1016</v>
      </c>
      <c r="O3" s="7">
        <v>5</v>
      </c>
      <c r="P3" s="1" t="s">
        <v>225</v>
      </c>
      <c r="Q3" s="15" t="s">
        <v>1015</v>
      </c>
      <c r="R3" s="28"/>
      <c r="S3" s="21"/>
      <c r="T3" s="21"/>
      <c r="U3" s="21"/>
      <c r="V3" s="21" t="s">
        <v>1014</v>
      </c>
    </row>
    <row r="4" spans="1:109" s="30" customFormat="1" ht="59.25" customHeight="1" x14ac:dyDescent="0.3">
      <c r="A4" s="15" t="s">
        <v>1013</v>
      </c>
      <c r="B4" s="10" t="s">
        <v>1012</v>
      </c>
      <c r="C4" s="7">
        <v>2025</v>
      </c>
      <c r="D4" s="15" t="s">
        <v>59</v>
      </c>
      <c r="E4" s="7">
        <v>3</v>
      </c>
      <c r="F4" s="1" t="s">
        <v>1011</v>
      </c>
      <c r="G4" s="15" t="s">
        <v>1010</v>
      </c>
      <c r="H4" s="28" t="s">
        <v>1009</v>
      </c>
      <c r="I4" s="1" t="s">
        <v>1008</v>
      </c>
      <c r="J4" s="1" t="s">
        <v>930</v>
      </c>
      <c r="K4" s="37" t="s">
        <v>1007</v>
      </c>
      <c r="L4" s="1" t="s">
        <v>1003</v>
      </c>
      <c r="M4" s="28" t="s">
        <v>1006</v>
      </c>
      <c r="N4" s="15" t="s">
        <v>1005</v>
      </c>
      <c r="O4" s="7">
        <v>5</v>
      </c>
      <c r="P4" s="1" t="s">
        <v>225</v>
      </c>
      <c r="Q4" s="15" t="s">
        <v>1004</v>
      </c>
      <c r="R4" s="28"/>
      <c r="S4" s="21"/>
      <c r="T4" s="21"/>
      <c r="U4" s="21"/>
      <c r="V4" s="21" t="s">
        <v>1003</v>
      </c>
    </row>
    <row r="5" spans="1:109" s="30" customFormat="1" ht="59.25" customHeight="1" x14ac:dyDescent="0.3">
      <c r="A5" s="15" t="s">
        <v>1002</v>
      </c>
      <c r="B5" s="10" t="s">
        <v>1001</v>
      </c>
      <c r="C5" s="7">
        <v>2025</v>
      </c>
      <c r="D5" s="15" t="s">
        <v>816</v>
      </c>
      <c r="E5" s="7">
        <v>3</v>
      </c>
      <c r="F5" s="1" t="s">
        <v>1000</v>
      </c>
      <c r="G5" s="15" t="s">
        <v>999</v>
      </c>
      <c r="H5" s="28"/>
      <c r="I5" s="1" t="s">
        <v>988</v>
      </c>
      <c r="J5" s="1" t="s">
        <v>217</v>
      </c>
      <c r="K5" s="37" t="s">
        <v>998</v>
      </c>
      <c r="L5" s="1" t="s">
        <v>915</v>
      </c>
      <c r="M5" s="28" t="s">
        <v>997</v>
      </c>
      <c r="N5" s="15" t="s">
        <v>996</v>
      </c>
      <c r="O5" s="7">
        <v>4</v>
      </c>
      <c r="P5" s="1" t="s">
        <v>225</v>
      </c>
      <c r="Q5" s="15" t="s">
        <v>995</v>
      </c>
      <c r="R5" s="28" t="s">
        <v>994</v>
      </c>
      <c r="S5" s="21"/>
      <c r="T5" s="21" t="s">
        <v>880</v>
      </c>
      <c r="U5" s="21"/>
      <c r="V5" s="21"/>
    </row>
    <row r="6" spans="1:109" s="29" customFormat="1" ht="59.25" customHeight="1" x14ac:dyDescent="0.3">
      <c r="A6" s="15" t="s">
        <v>993</v>
      </c>
      <c r="B6" s="10" t="s">
        <v>992</v>
      </c>
      <c r="C6" s="7">
        <v>2025</v>
      </c>
      <c r="D6" s="15" t="s">
        <v>60</v>
      </c>
      <c r="E6" s="7">
        <v>2</v>
      </c>
      <c r="F6" s="1" t="s">
        <v>991</v>
      </c>
      <c r="G6" s="15" t="s">
        <v>990</v>
      </c>
      <c r="H6" s="28" t="s">
        <v>989</v>
      </c>
      <c r="I6" s="1" t="s">
        <v>988</v>
      </c>
      <c r="J6" s="1" t="s">
        <v>917</v>
      </c>
      <c r="K6" s="37" t="s">
        <v>880</v>
      </c>
      <c r="L6" s="1" t="s">
        <v>987</v>
      </c>
      <c r="M6" s="28" t="s">
        <v>986</v>
      </c>
      <c r="N6" s="15" t="s">
        <v>985</v>
      </c>
      <c r="O6" s="7">
        <v>5</v>
      </c>
      <c r="P6" s="1" t="s">
        <v>225</v>
      </c>
      <c r="Q6" s="15" t="s">
        <v>984</v>
      </c>
      <c r="R6" s="28"/>
      <c r="S6" s="21"/>
      <c r="T6" s="21" t="s">
        <v>880</v>
      </c>
      <c r="U6" s="21" t="s">
        <v>983</v>
      </c>
      <c r="V6" s="21"/>
      <c r="W6" s="30"/>
      <c r="X6" s="30"/>
      <c r="Y6" s="30"/>
      <c r="Z6" s="30"/>
      <c r="AA6" s="30"/>
      <c r="AB6" s="30"/>
      <c r="AC6" s="30"/>
      <c r="AD6" s="30"/>
      <c r="AE6" s="30"/>
      <c r="AF6" s="30"/>
      <c r="AG6" s="30"/>
      <c r="AH6" s="30"/>
      <c r="AI6" s="30"/>
      <c r="AJ6" s="30"/>
      <c r="AK6" s="30"/>
      <c r="AL6" s="30"/>
      <c r="AM6" s="30"/>
      <c r="AN6" s="30"/>
      <c r="AO6" s="30"/>
      <c r="AP6" s="30"/>
      <c r="AQ6" s="30"/>
      <c r="AR6" s="30"/>
      <c r="AS6" s="30"/>
      <c r="AT6" s="30"/>
      <c r="AU6" s="30"/>
      <c r="AV6" s="30"/>
      <c r="AW6" s="30"/>
      <c r="AX6" s="30"/>
      <c r="AY6" s="30"/>
      <c r="AZ6" s="30"/>
      <c r="BA6" s="30"/>
      <c r="BB6" s="30"/>
      <c r="BC6" s="30"/>
      <c r="BD6" s="30"/>
      <c r="BE6" s="30"/>
      <c r="BF6" s="30"/>
      <c r="BG6" s="30"/>
      <c r="BH6" s="30"/>
      <c r="BI6" s="30"/>
      <c r="BJ6" s="30"/>
      <c r="BK6" s="30"/>
      <c r="BL6" s="30"/>
      <c r="BM6" s="30"/>
      <c r="BN6" s="30"/>
      <c r="BO6" s="30"/>
      <c r="BP6" s="30"/>
      <c r="BQ6" s="30"/>
      <c r="BR6" s="30"/>
      <c r="BS6" s="30"/>
      <c r="BT6" s="30"/>
      <c r="BU6" s="30"/>
      <c r="BV6" s="30"/>
      <c r="BW6" s="30"/>
      <c r="BX6" s="30"/>
      <c r="BY6" s="30"/>
      <c r="BZ6" s="30"/>
      <c r="CA6" s="30"/>
      <c r="CB6" s="30"/>
      <c r="CC6" s="30"/>
      <c r="CD6" s="30"/>
      <c r="CE6" s="30"/>
      <c r="CF6" s="30"/>
      <c r="CG6" s="30"/>
      <c r="CH6" s="30"/>
      <c r="CI6" s="30"/>
      <c r="CJ6" s="30"/>
      <c r="CK6" s="30"/>
      <c r="CL6" s="30"/>
      <c r="CM6" s="30"/>
      <c r="CN6" s="30"/>
      <c r="CO6" s="30"/>
      <c r="CP6" s="30"/>
      <c r="CQ6" s="30"/>
      <c r="CR6" s="30"/>
      <c r="CS6" s="30"/>
      <c r="CT6" s="30"/>
      <c r="CU6" s="30"/>
      <c r="CV6" s="30"/>
      <c r="CW6" s="30"/>
      <c r="CX6" s="30"/>
      <c r="CY6" s="30"/>
      <c r="CZ6" s="30"/>
      <c r="DA6" s="30"/>
      <c r="DB6" s="30"/>
      <c r="DC6" s="30"/>
      <c r="DD6" s="30"/>
      <c r="DE6" s="30"/>
    </row>
    <row r="7" spans="1:109" s="29" customFormat="1" ht="59.25" customHeight="1" x14ac:dyDescent="0.3">
      <c r="A7" s="15" t="s">
        <v>982</v>
      </c>
      <c r="B7" s="10" t="s">
        <v>981</v>
      </c>
      <c r="C7" s="7">
        <v>2025</v>
      </c>
      <c r="D7" s="15" t="s">
        <v>73</v>
      </c>
      <c r="E7" s="7">
        <v>2</v>
      </c>
      <c r="F7" s="1" t="s">
        <v>128</v>
      </c>
      <c r="G7" s="15" t="s">
        <v>980</v>
      </c>
      <c r="H7" s="28" t="s">
        <v>979</v>
      </c>
      <c r="I7" s="1" t="s">
        <v>978</v>
      </c>
      <c r="J7" s="1" t="s">
        <v>930</v>
      </c>
      <c r="K7" s="37" t="s">
        <v>925</v>
      </c>
      <c r="L7" s="1" t="s">
        <v>227</v>
      </c>
      <c r="M7" s="28" t="s">
        <v>977</v>
      </c>
      <c r="N7" s="15" t="s">
        <v>976</v>
      </c>
      <c r="O7" s="7">
        <v>5</v>
      </c>
      <c r="P7" s="1" t="s">
        <v>225</v>
      </c>
      <c r="Q7" s="15" t="s">
        <v>975</v>
      </c>
      <c r="R7" s="28" t="s">
        <v>974</v>
      </c>
      <c r="S7" s="21"/>
      <c r="T7" s="21"/>
      <c r="U7" s="21" t="s">
        <v>925</v>
      </c>
      <c r="V7" s="21" t="s">
        <v>227</v>
      </c>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c r="BL7" s="30"/>
      <c r="BM7" s="30"/>
      <c r="BN7" s="30"/>
      <c r="BO7" s="30"/>
      <c r="BP7" s="30"/>
      <c r="BQ7" s="30"/>
      <c r="BR7" s="30"/>
      <c r="BS7" s="30"/>
      <c r="BT7" s="30"/>
      <c r="BU7" s="30"/>
      <c r="BV7" s="30"/>
      <c r="BW7" s="30"/>
      <c r="BX7" s="30"/>
      <c r="BY7" s="30"/>
      <c r="BZ7" s="30"/>
      <c r="CA7" s="30"/>
      <c r="CB7" s="30"/>
      <c r="CC7" s="30"/>
      <c r="CD7" s="30"/>
      <c r="CE7" s="30"/>
      <c r="CF7" s="30"/>
      <c r="CG7" s="30"/>
      <c r="CH7" s="30"/>
      <c r="CI7" s="30"/>
      <c r="CJ7" s="30"/>
      <c r="CK7" s="30"/>
      <c r="CL7" s="30"/>
      <c r="CM7" s="30"/>
      <c r="CN7" s="30"/>
      <c r="CO7" s="30"/>
      <c r="CP7" s="30"/>
      <c r="CQ7" s="30"/>
      <c r="CR7" s="30"/>
      <c r="CS7" s="30"/>
      <c r="CT7" s="30"/>
      <c r="CU7" s="30"/>
      <c r="CV7" s="30"/>
      <c r="CW7" s="30"/>
      <c r="CX7" s="30"/>
      <c r="CY7" s="30"/>
      <c r="CZ7" s="30"/>
      <c r="DA7" s="30"/>
      <c r="DB7" s="30"/>
      <c r="DC7" s="30"/>
      <c r="DD7" s="30"/>
      <c r="DE7" s="30"/>
    </row>
    <row r="8" spans="1:109" s="29" customFormat="1" ht="59.25" customHeight="1" x14ac:dyDescent="0.3">
      <c r="A8" s="15" t="s">
        <v>973</v>
      </c>
      <c r="B8" s="10" t="s">
        <v>972</v>
      </c>
      <c r="C8" s="7">
        <v>2025</v>
      </c>
      <c r="D8" s="15" t="s">
        <v>56</v>
      </c>
      <c r="E8" s="7">
        <v>0</v>
      </c>
      <c r="F8" s="1" t="s">
        <v>971</v>
      </c>
      <c r="G8" s="15" t="s">
        <v>970</v>
      </c>
      <c r="H8" s="28" t="s">
        <v>969</v>
      </c>
      <c r="I8" s="1" t="s">
        <v>968</v>
      </c>
      <c r="J8" s="1" t="s">
        <v>930</v>
      </c>
      <c r="K8" s="37" t="s">
        <v>963</v>
      </c>
      <c r="L8" s="1" t="s">
        <v>915</v>
      </c>
      <c r="M8" s="28" t="s">
        <v>967</v>
      </c>
      <c r="N8" s="15" t="s">
        <v>966</v>
      </c>
      <c r="O8" s="7">
        <v>5</v>
      </c>
      <c r="P8" s="1" t="s">
        <v>225</v>
      </c>
      <c r="Q8" s="15" t="s">
        <v>965</v>
      </c>
      <c r="R8" s="28" t="s">
        <v>964</v>
      </c>
      <c r="S8" s="21" t="s">
        <v>910</v>
      </c>
      <c r="T8" s="21"/>
      <c r="U8" s="21" t="s">
        <v>963</v>
      </c>
      <c r="V8" s="21"/>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30"/>
      <c r="BK8" s="30"/>
      <c r="BL8" s="30"/>
      <c r="BM8" s="30"/>
      <c r="BN8" s="30"/>
      <c r="BO8" s="30"/>
      <c r="BP8" s="30"/>
      <c r="BQ8" s="30"/>
      <c r="BR8" s="30"/>
      <c r="BS8" s="30"/>
      <c r="BT8" s="30"/>
      <c r="BU8" s="30"/>
      <c r="BV8" s="30"/>
      <c r="BW8" s="30"/>
      <c r="BX8" s="30"/>
      <c r="BY8" s="30"/>
      <c r="BZ8" s="30"/>
      <c r="CA8" s="30"/>
      <c r="CB8" s="30"/>
      <c r="CC8" s="30"/>
      <c r="CD8" s="30"/>
      <c r="CE8" s="30"/>
      <c r="CF8" s="30"/>
      <c r="CG8" s="30"/>
      <c r="CH8" s="30"/>
      <c r="CI8" s="30"/>
      <c r="CJ8" s="30"/>
      <c r="CK8" s="30"/>
      <c r="CL8" s="30"/>
      <c r="CM8" s="30"/>
      <c r="CN8" s="30"/>
      <c r="CO8" s="30"/>
      <c r="CP8" s="30"/>
      <c r="CQ8" s="30"/>
      <c r="CR8" s="30"/>
      <c r="CS8" s="30"/>
      <c r="CT8" s="30"/>
      <c r="CU8" s="30"/>
      <c r="CV8" s="30"/>
      <c r="CW8" s="30"/>
      <c r="CX8" s="30"/>
      <c r="CY8" s="30"/>
      <c r="CZ8" s="30"/>
      <c r="DA8" s="30"/>
      <c r="DB8" s="30"/>
      <c r="DC8" s="30"/>
      <c r="DD8" s="30"/>
      <c r="DE8" s="30"/>
    </row>
    <row r="9" spans="1:109" s="29" customFormat="1" ht="59.25" customHeight="1" x14ac:dyDescent="0.3">
      <c r="A9" s="15" t="s">
        <v>962</v>
      </c>
      <c r="B9" s="10" t="s">
        <v>961</v>
      </c>
      <c r="C9" s="7">
        <v>2025</v>
      </c>
      <c r="D9" s="15" t="s">
        <v>58</v>
      </c>
      <c r="E9" s="7">
        <v>0</v>
      </c>
      <c r="F9" s="1" t="s">
        <v>960</v>
      </c>
      <c r="G9" s="15" t="s">
        <v>959</v>
      </c>
      <c r="H9" s="28" t="s">
        <v>958</v>
      </c>
      <c r="I9" s="1" t="s">
        <v>957</v>
      </c>
      <c r="J9" s="1" t="s">
        <v>956</v>
      </c>
      <c r="K9" s="37" t="s">
        <v>950</v>
      </c>
      <c r="L9" s="1" t="s">
        <v>955</v>
      </c>
      <c r="M9" s="28" t="s">
        <v>954</v>
      </c>
      <c r="N9" s="15" t="s">
        <v>953</v>
      </c>
      <c r="O9" s="7">
        <v>4</v>
      </c>
      <c r="P9" s="1" t="s">
        <v>225</v>
      </c>
      <c r="Q9" s="15" t="s">
        <v>952</v>
      </c>
      <c r="R9" s="28" t="s">
        <v>951</v>
      </c>
      <c r="S9" s="21"/>
      <c r="T9" s="21" t="s">
        <v>950</v>
      </c>
      <c r="U9" s="21"/>
      <c r="V9" s="21" t="s">
        <v>949</v>
      </c>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0"/>
      <c r="BK9" s="30"/>
      <c r="BL9" s="30"/>
      <c r="BM9" s="30"/>
      <c r="BN9" s="30"/>
      <c r="BO9" s="30"/>
      <c r="BP9" s="30"/>
      <c r="BQ9" s="30"/>
      <c r="BR9" s="30"/>
      <c r="BS9" s="30"/>
      <c r="BT9" s="30"/>
      <c r="BU9" s="30"/>
      <c r="BV9" s="30"/>
      <c r="BW9" s="30"/>
      <c r="BX9" s="30"/>
      <c r="BY9" s="30"/>
      <c r="BZ9" s="30"/>
      <c r="CA9" s="30"/>
      <c r="CB9" s="30"/>
      <c r="CC9" s="30"/>
      <c r="CD9" s="30"/>
      <c r="CE9" s="30"/>
      <c r="CF9" s="30"/>
      <c r="CG9" s="30"/>
      <c r="CH9" s="30"/>
      <c r="CI9" s="30"/>
      <c r="CJ9" s="30"/>
      <c r="CK9" s="30"/>
      <c r="CL9" s="30"/>
      <c r="CM9" s="30"/>
      <c r="CN9" s="30"/>
      <c r="CO9" s="30"/>
      <c r="CP9" s="30"/>
      <c r="CQ9" s="30"/>
      <c r="CR9" s="30"/>
      <c r="CS9" s="30"/>
      <c r="CT9" s="30"/>
      <c r="CU9" s="30"/>
      <c r="CV9" s="30"/>
      <c r="CW9" s="30"/>
      <c r="CX9" s="30"/>
      <c r="CY9" s="30"/>
      <c r="CZ9" s="30"/>
      <c r="DA9" s="30"/>
      <c r="DB9" s="30"/>
      <c r="DC9" s="30"/>
      <c r="DD9" s="30"/>
      <c r="DE9" s="30"/>
    </row>
    <row r="10" spans="1:109" s="29" customFormat="1" ht="59.25" customHeight="1" x14ac:dyDescent="0.3">
      <c r="A10" s="15" t="s">
        <v>948</v>
      </c>
      <c r="B10" s="10" t="s">
        <v>947</v>
      </c>
      <c r="C10" s="7">
        <v>2025</v>
      </c>
      <c r="D10" s="15" t="s">
        <v>946</v>
      </c>
      <c r="E10" s="7">
        <v>0</v>
      </c>
      <c r="F10" s="1" t="s">
        <v>945</v>
      </c>
      <c r="G10" s="15" t="s">
        <v>944</v>
      </c>
      <c r="H10" s="28" t="s">
        <v>943</v>
      </c>
      <c r="I10" s="1" t="s">
        <v>942</v>
      </c>
      <c r="J10" s="1" t="s">
        <v>217</v>
      </c>
      <c r="K10" s="37" t="s">
        <v>937</v>
      </c>
      <c r="L10" s="1" t="s">
        <v>915</v>
      </c>
      <c r="M10" s="28" t="s">
        <v>941</v>
      </c>
      <c r="N10" s="15" t="s">
        <v>940</v>
      </c>
      <c r="O10" s="7">
        <v>4</v>
      </c>
      <c r="P10" s="1" t="s">
        <v>225</v>
      </c>
      <c r="Q10" s="15" t="s">
        <v>939</v>
      </c>
      <c r="R10" s="28" t="s">
        <v>938</v>
      </c>
      <c r="S10" s="21"/>
      <c r="T10" s="21" t="s">
        <v>937</v>
      </c>
      <c r="U10" s="21"/>
      <c r="V10" s="21"/>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I10" s="30"/>
      <c r="BJ10" s="30"/>
      <c r="BK10" s="30"/>
      <c r="BL10" s="30"/>
      <c r="BM10" s="30"/>
      <c r="BN10" s="30"/>
      <c r="BO10" s="30"/>
      <c r="BP10" s="30"/>
      <c r="BQ10" s="30"/>
      <c r="BR10" s="30"/>
      <c r="BS10" s="30"/>
      <c r="BT10" s="30"/>
      <c r="BU10" s="30"/>
      <c r="BV10" s="30"/>
      <c r="BW10" s="30"/>
      <c r="BX10" s="30"/>
      <c r="BY10" s="30"/>
      <c r="BZ10" s="30"/>
      <c r="CA10" s="30"/>
      <c r="CB10" s="30"/>
      <c r="CC10" s="30"/>
      <c r="CD10" s="30"/>
      <c r="CE10" s="30"/>
      <c r="CF10" s="30"/>
      <c r="CG10" s="30"/>
      <c r="CH10" s="30"/>
      <c r="CI10" s="30"/>
      <c r="CJ10" s="30"/>
      <c r="CK10" s="30"/>
      <c r="CL10" s="30"/>
      <c r="CM10" s="30"/>
      <c r="CN10" s="30"/>
      <c r="CO10" s="30"/>
      <c r="CP10" s="30"/>
      <c r="CQ10" s="30"/>
      <c r="CR10" s="30"/>
      <c r="CS10" s="30"/>
      <c r="CT10" s="30"/>
      <c r="CU10" s="30"/>
      <c r="CV10" s="30"/>
      <c r="CW10" s="30"/>
      <c r="CX10" s="30"/>
      <c r="CY10" s="30"/>
      <c r="CZ10" s="30"/>
      <c r="DA10" s="30"/>
      <c r="DB10" s="30"/>
      <c r="DC10" s="30"/>
      <c r="DD10" s="30"/>
      <c r="DE10" s="30"/>
    </row>
    <row r="11" spans="1:109" s="29" customFormat="1" ht="59.25" customHeight="1" x14ac:dyDescent="0.3">
      <c r="A11" s="15" t="s">
        <v>936</v>
      </c>
      <c r="B11" s="10" t="s">
        <v>935</v>
      </c>
      <c r="C11" s="7">
        <v>2026</v>
      </c>
      <c r="D11" s="15" t="s">
        <v>62</v>
      </c>
      <c r="E11" s="7">
        <v>0</v>
      </c>
      <c r="F11" s="1" t="s">
        <v>934</v>
      </c>
      <c r="G11" s="15" t="s">
        <v>933</v>
      </c>
      <c r="H11" s="28" t="s">
        <v>932</v>
      </c>
      <c r="I11" s="1" t="s">
        <v>931</v>
      </c>
      <c r="J11" s="1" t="s">
        <v>930</v>
      </c>
      <c r="K11" s="37" t="s">
        <v>925</v>
      </c>
      <c r="L11" s="1" t="s">
        <v>924</v>
      </c>
      <c r="M11" s="28" t="s">
        <v>929</v>
      </c>
      <c r="N11" s="15" t="s">
        <v>928</v>
      </c>
      <c r="O11" s="7">
        <v>4</v>
      </c>
      <c r="P11" s="1" t="s">
        <v>225</v>
      </c>
      <c r="Q11" s="15" t="s">
        <v>927</v>
      </c>
      <c r="R11" s="28" t="s">
        <v>926</v>
      </c>
      <c r="S11" s="21"/>
      <c r="T11" s="21"/>
      <c r="U11" s="21" t="s">
        <v>925</v>
      </c>
      <c r="V11" s="21" t="s">
        <v>924</v>
      </c>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30"/>
      <c r="BC11" s="30"/>
      <c r="BD11" s="30"/>
      <c r="BE11" s="30"/>
      <c r="BF11" s="30"/>
      <c r="BG11" s="30"/>
      <c r="BH11" s="30"/>
      <c r="BI11" s="30"/>
      <c r="BJ11" s="30"/>
      <c r="BK11" s="30"/>
      <c r="BL11" s="30"/>
      <c r="BM11" s="30"/>
      <c r="BN11" s="30"/>
      <c r="BO11" s="30"/>
      <c r="BP11" s="30"/>
      <c r="BQ11" s="30"/>
      <c r="BR11" s="30"/>
      <c r="BS11" s="30"/>
      <c r="BT11" s="30"/>
      <c r="BU11" s="30"/>
      <c r="BV11" s="30"/>
      <c r="BW11" s="30"/>
      <c r="BX11" s="30"/>
      <c r="BY11" s="30"/>
      <c r="BZ11" s="30"/>
      <c r="CA11" s="30"/>
      <c r="CB11" s="30"/>
      <c r="CC11" s="30"/>
      <c r="CD11" s="30"/>
      <c r="CE11" s="30"/>
      <c r="CF11" s="30"/>
      <c r="CG11" s="30"/>
      <c r="CH11" s="30"/>
      <c r="CI11" s="30"/>
      <c r="CJ11" s="30"/>
      <c r="CK11" s="30"/>
      <c r="CL11" s="30"/>
      <c r="CM11" s="30"/>
      <c r="CN11" s="30"/>
      <c r="CO11" s="30"/>
      <c r="CP11" s="30"/>
      <c r="CQ11" s="30"/>
      <c r="CR11" s="30"/>
      <c r="CS11" s="30"/>
      <c r="CT11" s="30"/>
      <c r="CU11" s="30"/>
      <c r="CV11" s="30"/>
      <c r="CW11" s="30"/>
      <c r="CX11" s="30"/>
      <c r="CY11" s="30"/>
      <c r="CZ11" s="30"/>
      <c r="DA11" s="30"/>
      <c r="DB11" s="30"/>
      <c r="DC11" s="30"/>
      <c r="DD11" s="30"/>
      <c r="DE11" s="30"/>
    </row>
    <row r="12" spans="1:109" s="29" customFormat="1" ht="58.95" customHeight="1" x14ac:dyDescent="0.3">
      <c r="A12" s="26" t="s">
        <v>923</v>
      </c>
      <c r="B12" s="33" t="s">
        <v>922</v>
      </c>
      <c r="C12" s="34">
        <v>2026</v>
      </c>
      <c r="D12" s="26" t="s">
        <v>62</v>
      </c>
      <c r="E12" s="34">
        <v>0</v>
      </c>
      <c r="F12" s="36" t="s">
        <v>921</v>
      </c>
      <c r="G12" s="26" t="s">
        <v>920</v>
      </c>
      <c r="H12" s="27" t="s">
        <v>919</v>
      </c>
      <c r="I12" s="36" t="s">
        <v>918</v>
      </c>
      <c r="J12" s="36" t="s">
        <v>917</v>
      </c>
      <c r="K12" s="38" t="s">
        <v>916</v>
      </c>
      <c r="L12" s="36" t="s">
        <v>915</v>
      </c>
      <c r="M12" s="27" t="s">
        <v>914</v>
      </c>
      <c r="N12" s="26" t="s">
        <v>913</v>
      </c>
      <c r="O12" s="34">
        <v>5</v>
      </c>
      <c r="P12" s="1" t="s">
        <v>225</v>
      </c>
      <c r="Q12" s="15" t="s">
        <v>912</v>
      </c>
      <c r="R12" s="28" t="s">
        <v>911</v>
      </c>
      <c r="S12" s="21" t="s">
        <v>910</v>
      </c>
      <c r="T12" s="21"/>
      <c r="U12" s="21"/>
      <c r="V12" s="21"/>
      <c r="W12" s="30"/>
      <c r="X12" s="30"/>
      <c r="Y12" s="30"/>
      <c r="Z12" s="30"/>
      <c r="AA12" s="30"/>
      <c r="AB12" s="30"/>
      <c r="AC12" s="30"/>
      <c r="AD12" s="30"/>
      <c r="AE12" s="30"/>
      <c r="AF12" s="30"/>
      <c r="AG12" s="30"/>
      <c r="AH12" s="30"/>
      <c r="AI12" s="30"/>
      <c r="AJ12" s="30"/>
      <c r="AK12" s="30"/>
      <c r="AL12" s="30"/>
      <c r="AM12" s="30"/>
      <c r="AN12" s="30"/>
      <c r="AO12" s="30"/>
      <c r="AP12" s="30"/>
      <c r="AQ12" s="30"/>
      <c r="AR12" s="30"/>
      <c r="AS12" s="30"/>
      <c r="AT12" s="30"/>
      <c r="AU12" s="30"/>
      <c r="AV12" s="30"/>
      <c r="AW12" s="30"/>
      <c r="AX12" s="30"/>
      <c r="AY12" s="30"/>
      <c r="AZ12" s="30"/>
      <c r="BA12" s="30"/>
      <c r="BB12" s="30"/>
      <c r="BC12" s="30"/>
      <c r="BD12" s="30"/>
      <c r="BE12" s="30"/>
      <c r="BF12" s="30"/>
      <c r="BG12" s="30"/>
      <c r="BH12" s="30"/>
      <c r="BI12" s="30"/>
      <c r="BJ12" s="30"/>
      <c r="BK12" s="30"/>
      <c r="BL12" s="30"/>
      <c r="BM12" s="30"/>
      <c r="BN12" s="30"/>
      <c r="BO12" s="30"/>
      <c r="BP12" s="30"/>
      <c r="BQ12" s="30"/>
      <c r="BR12" s="30"/>
      <c r="BS12" s="30"/>
      <c r="BT12" s="30"/>
      <c r="BU12" s="30"/>
      <c r="BV12" s="30"/>
      <c r="BW12" s="30"/>
      <c r="BX12" s="30"/>
      <c r="BY12" s="30"/>
      <c r="BZ12" s="30"/>
      <c r="CA12" s="30"/>
      <c r="CB12" s="30"/>
      <c r="CC12" s="30"/>
      <c r="CD12" s="30"/>
      <c r="CE12" s="30"/>
      <c r="CF12" s="30"/>
      <c r="CG12" s="30"/>
      <c r="CH12" s="30"/>
      <c r="CI12" s="30"/>
      <c r="CJ12" s="30"/>
      <c r="CK12" s="30"/>
      <c r="CL12" s="30"/>
      <c r="CM12" s="30"/>
      <c r="CN12" s="30"/>
      <c r="CO12" s="30"/>
      <c r="CP12" s="30"/>
      <c r="CQ12" s="30"/>
      <c r="CR12" s="30"/>
      <c r="CS12" s="30"/>
      <c r="CT12" s="30"/>
      <c r="CU12" s="30"/>
      <c r="CV12" s="30"/>
      <c r="CW12" s="30"/>
      <c r="CX12" s="30"/>
      <c r="CY12" s="30"/>
      <c r="CZ12" s="30"/>
      <c r="DA12" s="30"/>
      <c r="DB12" s="30"/>
      <c r="DC12" s="30"/>
      <c r="DD12" s="30"/>
      <c r="DE12" s="30"/>
    </row>
    <row r="13" spans="1:109" s="29" customFormat="1" ht="59.25" customHeight="1" x14ac:dyDescent="0.3">
      <c r="A13" s="15" t="s">
        <v>1051</v>
      </c>
      <c r="B13" s="10" t="s">
        <v>1094</v>
      </c>
      <c r="C13" s="7">
        <v>2026</v>
      </c>
      <c r="D13" s="15" t="s">
        <v>59</v>
      </c>
      <c r="E13" s="7">
        <v>0</v>
      </c>
      <c r="F13" s="1" t="str">
        <f>IFERROR(LEFT(B13, FIND(";", B13) - 1), B13)</f>
        <v>Fang, W.</v>
      </c>
      <c r="G13" s="15" t="s">
        <v>1155</v>
      </c>
      <c r="H13" s="28" t="s">
        <v>1181</v>
      </c>
      <c r="I13" s="1" t="s">
        <v>1675</v>
      </c>
      <c r="J13" s="1" t="s">
        <v>917</v>
      </c>
      <c r="K13" s="37" t="s">
        <v>1680</v>
      </c>
      <c r="L13" s="1" t="s">
        <v>1676</v>
      </c>
      <c r="M13" s="28" t="s">
        <v>1677</v>
      </c>
      <c r="N13" s="15" t="s">
        <v>1679</v>
      </c>
      <c r="O13" s="7">
        <v>4</v>
      </c>
      <c r="P13" s="1" t="s">
        <v>225</v>
      </c>
      <c r="Q13" s="15" t="s">
        <v>1683</v>
      </c>
      <c r="R13" s="28" t="s">
        <v>1681</v>
      </c>
      <c r="S13" s="21"/>
      <c r="T13" s="21" t="s">
        <v>1680</v>
      </c>
      <c r="U13" s="21"/>
      <c r="V13" s="21" t="s">
        <v>1682</v>
      </c>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s="30"/>
      <c r="BE13" s="30"/>
      <c r="BF13" s="30"/>
      <c r="BG13" s="30"/>
      <c r="BH13" s="30"/>
      <c r="BI13" s="30"/>
      <c r="BJ13" s="30"/>
      <c r="BK13" s="30"/>
      <c r="BL13" s="30"/>
      <c r="BM13" s="30"/>
      <c r="BN13" s="30"/>
      <c r="BO13" s="30"/>
      <c r="BP13" s="30"/>
      <c r="BQ13" s="30"/>
      <c r="BR13" s="30"/>
      <c r="BS13" s="30"/>
      <c r="BT13" s="30"/>
      <c r="BU13" s="30"/>
      <c r="BV13" s="30"/>
      <c r="BW13" s="30"/>
      <c r="BX13" s="30"/>
      <c r="BY13" s="30"/>
      <c r="BZ13" s="30"/>
      <c r="CA13" s="30"/>
      <c r="CB13" s="30"/>
      <c r="CC13" s="30"/>
      <c r="CD13" s="30"/>
      <c r="CE13" s="30"/>
      <c r="CF13" s="30"/>
      <c r="CG13" s="30"/>
      <c r="CH13" s="30"/>
      <c r="CI13" s="30"/>
      <c r="CJ13" s="30"/>
      <c r="CK13" s="30"/>
      <c r="CL13" s="30"/>
      <c r="CM13" s="30"/>
      <c r="CN13" s="30"/>
      <c r="CO13" s="30"/>
      <c r="CP13" s="30"/>
      <c r="CQ13" s="30"/>
      <c r="CR13" s="30"/>
      <c r="CS13" s="30"/>
      <c r="CT13" s="30"/>
      <c r="CU13" s="30"/>
      <c r="CV13" s="30"/>
      <c r="CW13" s="30"/>
      <c r="CX13" s="30"/>
      <c r="CY13" s="30"/>
      <c r="CZ13" s="30"/>
      <c r="DA13" s="30"/>
      <c r="DB13" s="30"/>
      <c r="DC13" s="30"/>
      <c r="DD13" s="30"/>
      <c r="DE13" s="30"/>
    </row>
    <row r="14" spans="1:109" s="29" customFormat="1" ht="59.25" customHeight="1" x14ac:dyDescent="0.3">
      <c r="A14" s="15" t="s">
        <v>1062</v>
      </c>
      <c r="B14" s="10" t="s">
        <v>1105</v>
      </c>
      <c r="C14" s="7">
        <v>2026</v>
      </c>
      <c r="D14" s="15" t="s">
        <v>59</v>
      </c>
      <c r="E14" s="7">
        <v>0</v>
      </c>
      <c r="F14" s="1" t="str">
        <f t="shared" ref="F14:F18" si="0">IFERROR(LEFT(B14, FIND(";", B14) - 1), B14)</f>
        <v>Hu, K.</v>
      </c>
      <c r="G14" s="15" t="s">
        <v>1161</v>
      </c>
      <c r="H14" s="28" t="s">
        <v>1192</v>
      </c>
      <c r="I14" s="1" t="s">
        <v>1684</v>
      </c>
      <c r="J14" s="1" t="s">
        <v>401</v>
      </c>
      <c r="K14" s="37" t="s">
        <v>1685</v>
      </c>
      <c r="L14" s="36" t="s">
        <v>1686</v>
      </c>
      <c r="M14" s="28" t="s">
        <v>1687</v>
      </c>
      <c r="N14" s="15" t="s">
        <v>1688</v>
      </c>
      <c r="O14" s="7">
        <v>5</v>
      </c>
      <c r="P14" s="1" t="s">
        <v>225</v>
      </c>
      <c r="Q14" s="15"/>
      <c r="R14" s="28" t="s">
        <v>1689</v>
      </c>
      <c r="S14" s="21"/>
      <c r="T14" s="21" t="s">
        <v>1685</v>
      </c>
      <c r="U14" s="21"/>
      <c r="V14" s="21" t="s">
        <v>1690</v>
      </c>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30"/>
      <c r="BI14" s="30"/>
      <c r="BJ14" s="30"/>
      <c r="BK14" s="30"/>
      <c r="BL14" s="30"/>
      <c r="BM14" s="30"/>
      <c r="BN14" s="30"/>
      <c r="BO14" s="30"/>
      <c r="BP14" s="30"/>
      <c r="BQ14" s="30"/>
      <c r="BR14" s="30"/>
      <c r="BS14" s="30"/>
      <c r="BT14" s="30"/>
      <c r="BU14" s="30"/>
      <c r="BV14" s="30"/>
      <c r="BW14" s="30"/>
      <c r="BX14" s="30"/>
      <c r="BY14" s="30"/>
      <c r="BZ14" s="30"/>
      <c r="CA14" s="30"/>
      <c r="CB14" s="30"/>
      <c r="CC14" s="30"/>
      <c r="CD14" s="30"/>
      <c r="CE14" s="30"/>
      <c r="CF14" s="30"/>
      <c r="CG14" s="30"/>
      <c r="CH14" s="30"/>
      <c r="CI14" s="30"/>
      <c r="CJ14" s="30"/>
      <c r="CK14" s="30"/>
      <c r="CL14" s="30"/>
      <c r="CM14" s="30"/>
      <c r="CN14" s="30"/>
      <c r="CO14" s="30"/>
      <c r="CP14" s="30"/>
      <c r="CQ14" s="30"/>
      <c r="CR14" s="30"/>
      <c r="CS14" s="30"/>
      <c r="CT14" s="30"/>
      <c r="CU14" s="30"/>
      <c r="CV14" s="30"/>
      <c r="CW14" s="30"/>
      <c r="CX14" s="30"/>
      <c r="CY14" s="30"/>
      <c r="CZ14" s="30"/>
      <c r="DA14" s="30"/>
      <c r="DB14" s="30"/>
      <c r="DC14" s="30"/>
      <c r="DD14" s="30"/>
      <c r="DE14" s="30"/>
    </row>
    <row r="15" spans="1:109" s="29" customFormat="1" ht="59.25" customHeight="1" x14ac:dyDescent="0.3">
      <c r="A15" s="15" t="s">
        <v>1063</v>
      </c>
      <c r="B15" s="10" t="s">
        <v>1106</v>
      </c>
      <c r="C15" s="7">
        <v>2026</v>
      </c>
      <c r="D15" s="15" t="s">
        <v>59</v>
      </c>
      <c r="E15" s="7">
        <v>0</v>
      </c>
      <c r="F15" s="1" t="str">
        <f t="shared" si="0"/>
        <v>Leng, J.</v>
      </c>
      <c r="G15" s="15" t="s">
        <v>1162</v>
      </c>
      <c r="H15" s="28" t="s">
        <v>1193</v>
      </c>
      <c r="I15" s="1" t="s">
        <v>1691</v>
      </c>
      <c r="J15" s="1" t="s">
        <v>401</v>
      </c>
      <c r="K15" s="37" t="s">
        <v>1678</v>
      </c>
      <c r="L15" s="1" t="s">
        <v>1696</v>
      </c>
      <c r="M15" s="28" t="s">
        <v>1692</v>
      </c>
      <c r="N15" s="15" t="s">
        <v>1693</v>
      </c>
      <c r="O15" s="7">
        <v>4</v>
      </c>
      <c r="P15" s="1" t="s">
        <v>225</v>
      </c>
      <c r="Q15" s="15" t="s">
        <v>1694</v>
      </c>
      <c r="R15" s="28" t="s">
        <v>1695</v>
      </c>
      <c r="S15" s="21"/>
      <c r="T15" s="21"/>
      <c r="U15" s="21" t="s">
        <v>1697</v>
      </c>
      <c r="V15" s="21" t="s">
        <v>1698</v>
      </c>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c r="BK15" s="30"/>
      <c r="BL15" s="30"/>
      <c r="BM15" s="30"/>
      <c r="BN15" s="30"/>
      <c r="BO15" s="30"/>
      <c r="BP15" s="30"/>
      <c r="BQ15" s="30"/>
      <c r="BR15" s="30"/>
      <c r="BS15" s="30"/>
      <c r="BT15" s="30"/>
      <c r="BU15" s="30"/>
      <c r="BV15" s="30"/>
      <c r="BW15" s="30"/>
      <c r="BX15" s="30"/>
      <c r="BY15" s="30"/>
      <c r="BZ15" s="30"/>
      <c r="CA15" s="30"/>
      <c r="CB15" s="30"/>
      <c r="CC15" s="30"/>
      <c r="CD15" s="30"/>
      <c r="CE15" s="30"/>
      <c r="CF15" s="30"/>
      <c r="CG15" s="30"/>
      <c r="CH15" s="30"/>
      <c r="CI15" s="30"/>
      <c r="CJ15" s="30"/>
      <c r="CK15" s="30"/>
      <c r="CL15" s="30"/>
      <c r="CM15" s="30"/>
      <c r="CN15" s="30"/>
      <c r="CO15" s="30"/>
      <c r="CP15" s="30"/>
      <c r="CQ15" s="30"/>
      <c r="CR15" s="30"/>
      <c r="CS15" s="30"/>
      <c r="CT15" s="30"/>
      <c r="CU15" s="30"/>
      <c r="CV15" s="30"/>
      <c r="CW15" s="30"/>
      <c r="CX15" s="30"/>
      <c r="CY15" s="30"/>
      <c r="CZ15" s="30"/>
      <c r="DA15" s="30"/>
      <c r="DB15" s="30"/>
      <c r="DC15" s="30"/>
      <c r="DD15" s="30"/>
      <c r="DE15" s="30"/>
    </row>
    <row r="16" spans="1:109" s="29" customFormat="1" ht="59.25" customHeight="1" x14ac:dyDescent="0.3">
      <c r="A16" s="15" t="s">
        <v>1084</v>
      </c>
      <c r="B16" s="10" t="s">
        <v>1127</v>
      </c>
      <c r="C16" s="7">
        <v>2025</v>
      </c>
      <c r="D16" s="15" t="s">
        <v>1140</v>
      </c>
      <c r="E16" s="7">
        <v>0</v>
      </c>
      <c r="F16" s="1" t="str">
        <f t="shared" si="0"/>
        <v>Valencia-Arias, A.</v>
      </c>
      <c r="G16" s="15" t="s">
        <v>1176</v>
      </c>
      <c r="H16" s="28" t="s">
        <v>1214</v>
      </c>
      <c r="I16" s="1" t="s">
        <v>1699</v>
      </c>
      <c r="J16" s="1" t="s">
        <v>414</v>
      </c>
      <c r="K16" s="37" t="s">
        <v>1700</v>
      </c>
      <c r="L16" s="1" t="s">
        <v>915</v>
      </c>
      <c r="M16" s="28" t="s">
        <v>1701</v>
      </c>
      <c r="N16" s="15" t="s">
        <v>1702</v>
      </c>
      <c r="O16" s="7">
        <v>3</v>
      </c>
      <c r="P16" s="1" t="s">
        <v>225</v>
      </c>
      <c r="Q16" s="15" t="s">
        <v>1704</v>
      </c>
      <c r="R16" s="28" t="s">
        <v>1705</v>
      </c>
      <c r="S16" s="21" t="s">
        <v>910</v>
      </c>
      <c r="T16" s="21"/>
      <c r="U16" s="21" t="s">
        <v>1697</v>
      </c>
      <c r="V16" s="21"/>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c r="BH16" s="30"/>
      <c r="BI16" s="30"/>
      <c r="BJ16" s="30"/>
      <c r="BK16" s="30"/>
      <c r="BL16" s="30"/>
      <c r="BM16" s="30"/>
      <c r="BN16" s="30"/>
      <c r="BO16" s="30"/>
      <c r="BP16" s="30"/>
      <c r="BQ16" s="30"/>
      <c r="BR16" s="30"/>
      <c r="BS16" s="30"/>
      <c r="BT16" s="30"/>
      <c r="BU16" s="30"/>
      <c r="BV16" s="30"/>
      <c r="BW16" s="30"/>
      <c r="BX16" s="30"/>
      <c r="BY16" s="30"/>
      <c r="BZ16" s="30"/>
      <c r="CA16" s="30"/>
      <c r="CB16" s="30"/>
      <c r="CC16" s="30"/>
      <c r="CD16" s="30"/>
      <c r="CE16" s="30"/>
      <c r="CF16" s="30"/>
      <c r="CG16" s="30"/>
      <c r="CH16" s="30"/>
      <c r="CI16" s="30"/>
      <c r="CJ16" s="30"/>
      <c r="CK16" s="30"/>
      <c r="CL16" s="30"/>
      <c r="CM16" s="30"/>
      <c r="CN16" s="30"/>
      <c r="CO16" s="30"/>
      <c r="CP16" s="30"/>
      <c r="CQ16" s="30"/>
      <c r="CR16" s="30"/>
      <c r="CS16" s="30"/>
      <c r="CT16" s="30"/>
      <c r="CU16" s="30"/>
      <c r="CV16" s="30"/>
      <c r="CW16" s="30"/>
      <c r="CX16" s="30"/>
      <c r="CY16" s="30"/>
      <c r="CZ16" s="30"/>
      <c r="DA16" s="30"/>
      <c r="DB16" s="30"/>
      <c r="DC16" s="30"/>
      <c r="DD16" s="30"/>
      <c r="DE16" s="30"/>
    </row>
    <row r="17" spans="1:109" s="29" customFormat="1" ht="59.25" customHeight="1" x14ac:dyDescent="0.3">
      <c r="A17" s="15" t="s">
        <v>1090</v>
      </c>
      <c r="B17" s="10" t="s">
        <v>1133</v>
      </c>
      <c r="C17" s="7">
        <v>2025</v>
      </c>
      <c r="D17" s="15" t="s">
        <v>58</v>
      </c>
      <c r="E17" s="7">
        <v>1</v>
      </c>
      <c r="F17" s="1" t="str">
        <f t="shared" si="0"/>
        <v>Ren, Y.</v>
      </c>
      <c r="G17" s="15" t="s">
        <v>1152</v>
      </c>
      <c r="H17" s="28" t="s">
        <v>1220</v>
      </c>
      <c r="I17" s="1" t="s">
        <v>1706</v>
      </c>
      <c r="J17" s="1" t="s">
        <v>1707</v>
      </c>
      <c r="K17" s="37" t="s">
        <v>1708</v>
      </c>
      <c r="L17" s="36" t="s">
        <v>1686</v>
      </c>
      <c r="M17" s="28" t="s">
        <v>1709</v>
      </c>
      <c r="N17" s="15" t="s">
        <v>1710</v>
      </c>
      <c r="O17" s="7">
        <v>5</v>
      </c>
      <c r="P17" s="1" t="s">
        <v>225</v>
      </c>
      <c r="Q17" s="15" t="s">
        <v>1711</v>
      </c>
      <c r="R17" s="28" t="s">
        <v>1712</v>
      </c>
      <c r="S17" s="21" t="s">
        <v>910</v>
      </c>
      <c r="T17" s="21"/>
      <c r="U17" s="21"/>
      <c r="V17" s="21" t="s">
        <v>1690</v>
      </c>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0"/>
      <c r="BA17" s="30"/>
      <c r="BB17" s="30"/>
      <c r="BC17" s="30"/>
      <c r="BD17" s="30"/>
      <c r="BE17" s="30"/>
      <c r="BF17" s="30"/>
      <c r="BG17" s="30"/>
      <c r="BH17" s="30"/>
      <c r="BI17" s="30"/>
      <c r="BJ17" s="30"/>
      <c r="BK17" s="30"/>
      <c r="BL17" s="30"/>
      <c r="BM17" s="30"/>
      <c r="BN17" s="30"/>
      <c r="BO17" s="30"/>
      <c r="BP17" s="30"/>
      <c r="BQ17" s="30"/>
      <c r="BR17" s="30"/>
      <c r="BS17" s="30"/>
      <c r="BT17" s="30"/>
      <c r="BU17" s="30"/>
      <c r="BV17" s="30"/>
      <c r="BW17" s="30"/>
      <c r="BX17" s="30"/>
      <c r="BY17" s="30"/>
      <c r="BZ17" s="30"/>
      <c r="CA17" s="30"/>
      <c r="CB17" s="30"/>
      <c r="CC17" s="30"/>
      <c r="CD17" s="30"/>
      <c r="CE17" s="30"/>
      <c r="CF17" s="30"/>
      <c r="CG17" s="30"/>
      <c r="CH17" s="30"/>
      <c r="CI17" s="30"/>
      <c r="CJ17" s="30"/>
      <c r="CK17" s="30"/>
      <c r="CL17" s="30"/>
      <c r="CM17" s="30"/>
      <c r="CN17" s="30"/>
      <c r="CO17" s="30"/>
      <c r="CP17" s="30"/>
      <c r="CQ17" s="30"/>
      <c r="CR17" s="30"/>
      <c r="CS17" s="30"/>
      <c r="CT17" s="30"/>
      <c r="CU17" s="30"/>
      <c r="CV17" s="30"/>
      <c r="CW17" s="30"/>
      <c r="CX17" s="30"/>
      <c r="CY17" s="30"/>
      <c r="CZ17" s="30"/>
      <c r="DA17" s="30"/>
      <c r="DB17" s="30"/>
      <c r="DC17" s="30"/>
      <c r="DD17" s="30"/>
      <c r="DE17" s="30"/>
    </row>
    <row r="18" spans="1:109" s="29" customFormat="1" ht="59.25" customHeight="1" x14ac:dyDescent="0.3">
      <c r="A18" s="15" t="s">
        <v>1224</v>
      </c>
      <c r="B18" s="10" t="s">
        <v>1239</v>
      </c>
      <c r="C18" s="7">
        <v>2025</v>
      </c>
      <c r="D18" s="15" t="s">
        <v>66</v>
      </c>
      <c r="E18" s="7">
        <v>0</v>
      </c>
      <c r="F18" s="1" t="str">
        <f t="shared" si="0"/>
        <v>Shahin, M.</v>
      </c>
      <c r="G18" s="15" t="s">
        <v>1253</v>
      </c>
      <c r="H18" s="28" t="s">
        <v>1263</v>
      </c>
      <c r="I18" s="1" t="s">
        <v>1713</v>
      </c>
      <c r="J18" s="1" t="s">
        <v>414</v>
      </c>
      <c r="K18" s="37" t="s">
        <v>1718</v>
      </c>
      <c r="L18" s="1" t="s">
        <v>915</v>
      </c>
      <c r="M18" s="28" t="s">
        <v>1714</v>
      </c>
      <c r="N18" s="15" t="s">
        <v>1715</v>
      </c>
      <c r="O18" s="7">
        <v>3</v>
      </c>
      <c r="P18" s="1" t="s">
        <v>225</v>
      </c>
      <c r="Q18" s="15" t="s">
        <v>1716</v>
      </c>
      <c r="R18" s="28" t="s">
        <v>1717</v>
      </c>
      <c r="S18" s="21" t="s">
        <v>910</v>
      </c>
      <c r="T18" s="21"/>
      <c r="U18" s="21"/>
      <c r="V18" s="21"/>
      <c r="W18" s="30"/>
      <c r="X18" s="30"/>
      <c r="Y18" s="30"/>
      <c r="Z18" s="30"/>
      <c r="AA18" s="30"/>
      <c r="AB18" s="30"/>
      <c r="AC18" s="30"/>
      <c r="AD18" s="30"/>
      <c r="AE18" s="30"/>
      <c r="AF18" s="30"/>
      <c r="AG18" s="30"/>
      <c r="AH18" s="30"/>
      <c r="AI18" s="30"/>
      <c r="AJ18" s="30"/>
      <c r="AK18" s="30"/>
      <c r="AL18" s="30"/>
      <c r="AM18" s="30"/>
      <c r="AN18" s="30"/>
      <c r="AO18" s="30"/>
      <c r="AP18" s="30"/>
      <c r="AQ18" s="30"/>
      <c r="AR18" s="30"/>
      <c r="AS18" s="30"/>
      <c r="AT18" s="30"/>
      <c r="AU18" s="30"/>
      <c r="AV18" s="30"/>
      <c r="AW18" s="30"/>
      <c r="AX18" s="30"/>
      <c r="AY18" s="30"/>
      <c r="AZ18" s="30"/>
      <c r="BA18" s="30"/>
      <c r="BB18" s="30"/>
      <c r="BC18" s="30"/>
      <c r="BD18" s="30"/>
      <c r="BE18" s="30"/>
      <c r="BF18" s="30"/>
      <c r="BG18" s="30"/>
      <c r="BH18" s="30"/>
      <c r="BI18" s="30"/>
      <c r="BJ18" s="30"/>
      <c r="BK18" s="30"/>
      <c r="BL18" s="30"/>
      <c r="BM18" s="30"/>
      <c r="BN18" s="30"/>
      <c r="BO18" s="30"/>
      <c r="BP18" s="30"/>
      <c r="BQ18" s="30"/>
      <c r="BR18" s="30"/>
      <c r="BS18" s="30"/>
      <c r="BT18" s="30"/>
      <c r="BU18" s="30"/>
      <c r="BV18" s="30"/>
      <c r="BW18" s="30"/>
      <c r="BX18" s="30"/>
      <c r="BY18" s="30"/>
      <c r="BZ18" s="30"/>
      <c r="CA18" s="30"/>
      <c r="CB18" s="30"/>
      <c r="CC18" s="30"/>
      <c r="CD18" s="30"/>
      <c r="CE18" s="30"/>
      <c r="CF18" s="30"/>
      <c r="CG18" s="30"/>
      <c r="CH18" s="30"/>
      <c r="CI18" s="30"/>
      <c r="CJ18" s="30"/>
      <c r="CK18" s="30"/>
      <c r="CL18" s="30"/>
      <c r="CM18" s="30"/>
      <c r="CN18" s="30"/>
      <c r="CO18" s="30"/>
      <c r="CP18" s="30"/>
      <c r="CQ18" s="30"/>
      <c r="CR18" s="30"/>
      <c r="CS18" s="30"/>
      <c r="CT18" s="30"/>
      <c r="CU18" s="30"/>
      <c r="CV18" s="30"/>
      <c r="CW18" s="30"/>
      <c r="CX18" s="30"/>
      <c r="CY18" s="30"/>
      <c r="CZ18" s="30"/>
      <c r="DA18" s="30"/>
      <c r="DB18" s="30"/>
      <c r="DC18" s="30"/>
      <c r="DD18" s="30"/>
      <c r="DE18" s="30"/>
    </row>
    <row r="19" spans="1:109" s="29" customFormat="1" ht="59.25" customHeight="1" x14ac:dyDescent="0.3">
      <c r="A19" s="15" t="s">
        <v>1232</v>
      </c>
      <c r="B19" s="10" t="s">
        <v>1111</v>
      </c>
      <c r="C19" s="7">
        <v>2025</v>
      </c>
      <c r="D19" s="15" t="s">
        <v>58</v>
      </c>
      <c r="E19" s="7">
        <v>3</v>
      </c>
      <c r="F19" s="1" t="str">
        <f t="shared" ref="F19:F24" si="1">IFERROR(LEFT(B19, FIND(";", B19) - 1), B19)</f>
        <v>Ma, Y.</v>
      </c>
      <c r="G19" s="15" t="s">
        <v>1165</v>
      </c>
      <c r="H19" s="28" t="s">
        <v>1271</v>
      </c>
      <c r="I19" s="1" t="s">
        <v>1719</v>
      </c>
      <c r="J19" s="1" t="s">
        <v>401</v>
      </c>
      <c r="K19" s="37" t="s">
        <v>1720</v>
      </c>
      <c r="L19" s="1" t="s">
        <v>1003</v>
      </c>
      <c r="M19" s="28" t="s">
        <v>1721</v>
      </c>
      <c r="N19" s="15" t="s">
        <v>1722</v>
      </c>
      <c r="O19" s="7">
        <v>4</v>
      </c>
      <c r="P19" s="1" t="s">
        <v>225</v>
      </c>
      <c r="Q19" s="15" t="s">
        <v>1724</v>
      </c>
      <c r="R19" s="28" t="s">
        <v>1723</v>
      </c>
      <c r="S19" s="21" t="s">
        <v>910</v>
      </c>
      <c r="T19" s="21"/>
      <c r="U19" s="21"/>
      <c r="V19" s="21" t="s">
        <v>1003</v>
      </c>
      <c r="W19" s="30"/>
      <c r="X19" s="30"/>
      <c r="Y19" s="30"/>
      <c r="Z19" s="30"/>
      <c r="AA19" s="30"/>
      <c r="AB19" s="30"/>
      <c r="AC19" s="30"/>
      <c r="AD19" s="30"/>
      <c r="AE19" s="30"/>
      <c r="AF19" s="30"/>
      <c r="AG19" s="30"/>
      <c r="AH19" s="30"/>
      <c r="AI19" s="30"/>
      <c r="AJ19" s="30"/>
      <c r="AK19" s="30"/>
      <c r="AL19" s="30"/>
      <c r="AM19" s="30"/>
      <c r="AN19" s="30"/>
      <c r="AO19" s="30"/>
      <c r="AP19" s="30"/>
      <c r="AQ19" s="30"/>
      <c r="AR19" s="30"/>
      <c r="AS19" s="30"/>
      <c r="AT19" s="30"/>
      <c r="AU19" s="30"/>
      <c r="AV19" s="30"/>
      <c r="AW19" s="30"/>
      <c r="AX19" s="30"/>
      <c r="AY19" s="30"/>
      <c r="AZ19" s="30"/>
      <c r="BA19" s="30"/>
      <c r="BB19" s="30"/>
      <c r="BC19" s="30"/>
      <c r="BD19" s="30"/>
      <c r="BE19" s="30"/>
      <c r="BF19" s="30"/>
      <c r="BG19" s="30"/>
      <c r="BH19" s="30"/>
      <c r="BI19" s="30"/>
      <c r="BJ19" s="30"/>
      <c r="BK19" s="30"/>
      <c r="BL19" s="30"/>
      <c r="BM19" s="30"/>
      <c r="BN19" s="30"/>
      <c r="BO19" s="30"/>
      <c r="BP19" s="30"/>
      <c r="BQ19" s="30"/>
      <c r="BR19" s="30"/>
      <c r="BS19" s="30"/>
      <c r="BT19" s="30"/>
      <c r="BU19" s="30"/>
      <c r="BV19" s="30"/>
      <c r="BW19" s="30"/>
      <c r="BX19" s="30"/>
      <c r="BY19" s="30"/>
      <c r="BZ19" s="30"/>
      <c r="CA19" s="30"/>
      <c r="CB19" s="30"/>
      <c r="CC19" s="30"/>
      <c r="CD19" s="30"/>
      <c r="CE19" s="30"/>
      <c r="CF19" s="30"/>
      <c r="CG19" s="30"/>
      <c r="CH19" s="30"/>
      <c r="CI19" s="30"/>
      <c r="CJ19" s="30"/>
      <c r="CK19" s="30"/>
      <c r="CL19" s="30"/>
      <c r="CM19" s="30"/>
      <c r="CN19" s="30"/>
      <c r="CO19" s="30"/>
      <c r="CP19" s="30"/>
      <c r="CQ19" s="30"/>
      <c r="CR19" s="30"/>
      <c r="CS19" s="30"/>
      <c r="CT19" s="30"/>
      <c r="CU19" s="30"/>
      <c r="CV19" s="30"/>
      <c r="CW19" s="30"/>
      <c r="CX19" s="30"/>
      <c r="CY19" s="30"/>
      <c r="CZ19" s="30"/>
      <c r="DA19" s="30"/>
      <c r="DB19" s="30"/>
      <c r="DC19" s="30"/>
      <c r="DD19" s="30"/>
      <c r="DE19" s="30"/>
    </row>
    <row r="20" spans="1:109" s="29" customFormat="1" ht="59.25" customHeight="1" x14ac:dyDescent="0.3">
      <c r="A20" s="15" t="s">
        <v>1233</v>
      </c>
      <c r="B20" s="10" t="s">
        <v>1247</v>
      </c>
      <c r="C20" s="7">
        <v>2025</v>
      </c>
      <c r="D20" s="15" t="s">
        <v>58</v>
      </c>
      <c r="E20" s="7">
        <v>15</v>
      </c>
      <c r="F20" s="1" t="str">
        <f t="shared" si="1"/>
        <v>Leng, J.</v>
      </c>
      <c r="G20" s="15" t="s">
        <v>1259</v>
      </c>
      <c r="H20" s="28" t="s">
        <v>1272</v>
      </c>
      <c r="I20" s="1" t="s">
        <v>1727</v>
      </c>
      <c r="J20" s="1" t="s">
        <v>401</v>
      </c>
      <c r="K20" s="37" t="s">
        <v>1726</v>
      </c>
      <c r="L20" s="1" t="s">
        <v>1725</v>
      </c>
      <c r="M20" s="28" t="s">
        <v>1728</v>
      </c>
      <c r="N20" s="15" t="s">
        <v>1729</v>
      </c>
      <c r="O20" s="7">
        <v>4</v>
      </c>
      <c r="P20" s="1" t="s">
        <v>225</v>
      </c>
      <c r="Q20" s="15" t="s">
        <v>1730</v>
      </c>
      <c r="R20" s="28" t="s">
        <v>1731</v>
      </c>
      <c r="S20" s="21" t="s">
        <v>910</v>
      </c>
      <c r="T20" s="21" t="s">
        <v>1732</v>
      </c>
      <c r="U20" s="21"/>
      <c r="V20" s="21" t="s">
        <v>1725</v>
      </c>
      <c r="W20" s="30"/>
      <c r="X20" s="30"/>
      <c r="Y20" s="30"/>
      <c r="Z20" s="30"/>
      <c r="AA20" s="30"/>
      <c r="AB20" s="30"/>
      <c r="AC20" s="30"/>
      <c r="AD20" s="30"/>
      <c r="AE20" s="30"/>
      <c r="AF20" s="30"/>
      <c r="AG20" s="30"/>
      <c r="AH20" s="30"/>
      <c r="AI20" s="30"/>
      <c r="AJ20" s="30"/>
      <c r="AK20" s="30"/>
      <c r="AL20" s="30"/>
      <c r="AM20" s="30"/>
      <c r="AN20" s="30"/>
      <c r="AO20" s="30"/>
      <c r="AP20" s="30"/>
      <c r="AQ20" s="30"/>
      <c r="AR20" s="30"/>
      <c r="AS20" s="30"/>
      <c r="AT20" s="30"/>
      <c r="AU20" s="30"/>
      <c r="AV20" s="30"/>
      <c r="AW20" s="30"/>
      <c r="AX20" s="30"/>
      <c r="AY20" s="30"/>
      <c r="AZ20" s="30"/>
      <c r="BA20" s="30"/>
      <c r="BB20" s="30"/>
      <c r="BC20" s="30"/>
      <c r="BD20" s="30"/>
      <c r="BE20" s="30"/>
      <c r="BF20" s="30"/>
      <c r="BG20" s="30"/>
      <c r="BH20" s="30"/>
      <c r="BI20" s="30"/>
      <c r="BJ20" s="30"/>
      <c r="BK20" s="30"/>
      <c r="BL20" s="30"/>
      <c r="BM20" s="30"/>
      <c r="BN20" s="30"/>
      <c r="BO20" s="30"/>
      <c r="BP20" s="30"/>
      <c r="BQ20" s="30"/>
      <c r="BR20" s="30"/>
      <c r="BS20" s="30"/>
      <c r="BT20" s="30"/>
      <c r="BU20" s="30"/>
      <c r="BV20" s="30"/>
      <c r="BW20" s="30"/>
      <c r="BX20" s="30"/>
      <c r="BY20" s="30"/>
      <c r="BZ20" s="30"/>
      <c r="CA20" s="30"/>
      <c r="CB20" s="30"/>
      <c r="CC20" s="30"/>
      <c r="CD20" s="30"/>
      <c r="CE20" s="30"/>
      <c r="CF20" s="30"/>
      <c r="CG20" s="30"/>
      <c r="CH20" s="30"/>
      <c r="CI20" s="30"/>
      <c r="CJ20" s="30"/>
      <c r="CK20" s="30"/>
      <c r="CL20" s="30"/>
      <c r="CM20" s="30"/>
      <c r="CN20" s="30"/>
      <c r="CO20" s="30"/>
      <c r="CP20" s="30"/>
      <c r="CQ20" s="30"/>
      <c r="CR20" s="30"/>
      <c r="CS20" s="30"/>
      <c r="CT20" s="30"/>
      <c r="CU20" s="30"/>
      <c r="CV20" s="30"/>
      <c r="CW20" s="30"/>
      <c r="CX20" s="30"/>
      <c r="CY20" s="30"/>
      <c r="CZ20" s="30"/>
      <c r="DA20" s="30"/>
      <c r="DB20" s="30"/>
      <c r="DC20" s="30"/>
      <c r="DD20" s="30"/>
      <c r="DE20" s="30"/>
    </row>
    <row r="21" spans="1:109" s="29" customFormat="1" ht="59.25" customHeight="1" x14ac:dyDescent="0.3">
      <c r="A21" s="15" t="s">
        <v>1277</v>
      </c>
      <c r="B21" s="10" t="s">
        <v>1284</v>
      </c>
      <c r="C21" s="7">
        <v>2025</v>
      </c>
      <c r="D21" s="15" t="s">
        <v>62</v>
      </c>
      <c r="E21" s="7">
        <v>56</v>
      </c>
      <c r="F21" s="1" t="str">
        <f t="shared" si="1"/>
        <v>Dhanda, M.</v>
      </c>
      <c r="G21" s="15" t="s">
        <v>1291</v>
      </c>
      <c r="H21" s="28" t="s">
        <v>1297</v>
      </c>
      <c r="I21" s="1"/>
      <c r="J21" s="1"/>
      <c r="K21" s="37" t="s">
        <v>925</v>
      </c>
      <c r="L21" s="1"/>
      <c r="M21" s="28"/>
      <c r="N21" s="15" t="s">
        <v>1733</v>
      </c>
      <c r="O21" s="7">
        <v>4</v>
      </c>
      <c r="P21" s="1" t="s">
        <v>218</v>
      </c>
      <c r="Q21" s="15"/>
      <c r="R21" s="28" t="s">
        <v>1734</v>
      </c>
      <c r="S21" s="21"/>
      <c r="T21" s="21"/>
      <c r="U21" s="21"/>
      <c r="V21" s="21"/>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0"/>
      <c r="AU21" s="30"/>
      <c r="AV21" s="30"/>
      <c r="AW21" s="30"/>
      <c r="AX21" s="30"/>
      <c r="AY21" s="30"/>
      <c r="AZ21" s="30"/>
      <c r="BA21" s="30"/>
      <c r="BB21" s="30"/>
      <c r="BC21" s="30"/>
      <c r="BD21" s="30"/>
      <c r="BE21" s="30"/>
      <c r="BF21" s="30"/>
      <c r="BG21" s="30"/>
      <c r="BH21" s="30"/>
      <c r="BI21" s="30"/>
      <c r="BJ21" s="30"/>
      <c r="BK21" s="30"/>
      <c r="BL21" s="30"/>
      <c r="BM21" s="30"/>
      <c r="BN21" s="30"/>
      <c r="BO21" s="30"/>
      <c r="BP21" s="30"/>
      <c r="BQ21" s="30"/>
      <c r="BR21" s="30"/>
      <c r="BS21" s="30"/>
      <c r="BT21" s="30"/>
      <c r="BU21" s="30"/>
      <c r="BV21" s="30"/>
      <c r="BW21" s="30"/>
      <c r="BX21" s="30"/>
      <c r="BY21" s="30"/>
      <c r="BZ21" s="30"/>
      <c r="CA21" s="30"/>
      <c r="CB21" s="30"/>
      <c r="CC21" s="30"/>
      <c r="CD21" s="30"/>
      <c r="CE21" s="30"/>
      <c r="CF21" s="30"/>
      <c r="CG21" s="30"/>
      <c r="CH21" s="30"/>
      <c r="CI21" s="30"/>
      <c r="CJ21" s="30"/>
      <c r="CK21" s="30"/>
      <c r="CL21" s="30"/>
      <c r="CM21" s="30"/>
      <c r="CN21" s="30"/>
      <c r="CO21" s="30"/>
      <c r="CP21" s="30"/>
      <c r="CQ21" s="30"/>
      <c r="CR21" s="30"/>
      <c r="CS21" s="30"/>
      <c r="CT21" s="30"/>
      <c r="CU21" s="30"/>
      <c r="CV21" s="30"/>
      <c r="CW21" s="30"/>
      <c r="CX21" s="30"/>
      <c r="CY21" s="30"/>
      <c r="CZ21" s="30"/>
      <c r="DA21" s="30"/>
      <c r="DB21" s="30"/>
      <c r="DC21" s="30"/>
      <c r="DD21" s="30"/>
      <c r="DE21" s="30"/>
    </row>
    <row r="22" spans="1:109" s="29" customFormat="1" ht="59.25" customHeight="1" x14ac:dyDescent="0.3">
      <c r="A22" s="15" t="s">
        <v>1278</v>
      </c>
      <c r="B22" s="10" t="s">
        <v>1285</v>
      </c>
      <c r="C22" s="7">
        <v>2025</v>
      </c>
      <c r="D22" s="15" t="s">
        <v>62</v>
      </c>
      <c r="E22" s="7">
        <v>20</v>
      </c>
      <c r="F22" s="1" t="str">
        <f t="shared" si="1"/>
        <v>Pang, J.</v>
      </c>
      <c r="G22" s="15" t="s">
        <v>1175</v>
      </c>
      <c r="H22" s="28" t="s">
        <v>1298</v>
      </c>
      <c r="I22" s="1"/>
      <c r="J22" s="1"/>
      <c r="K22" s="37" t="s">
        <v>226</v>
      </c>
      <c r="L22" s="1" t="s">
        <v>1735</v>
      </c>
      <c r="M22" s="28"/>
      <c r="N22" s="15" t="s">
        <v>1736</v>
      </c>
      <c r="O22" s="7">
        <v>4</v>
      </c>
      <c r="P22" s="1" t="s">
        <v>218</v>
      </c>
      <c r="Q22" s="15"/>
      <c r="R22" s="28" t="s">
        <v>1737</v>
      </c>
      <c r="S22" s="21"/>
      <c r="T22" s="21"/>
      <c r="U22" s="21"/>
      <c r="V22" s="21"/>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0"/>
      <c r="AU22" s="30"/>
      <c r="AV22" s="30"/>
      <c r="AW22" s="30"/>
      <c r="AX22" s="30"/>
      <c r="AY22" s="30"/>
      <c r="AZ22" s="30"/>
      <c r="BA22" s="30"/>
      <c r="BB22" s="30"/>
      <c r="BC22" s="30"/>
      <c r="BD22" s="30"/>
      <c r="BE22" s="30"/>
      <c r="BF22" s="30"/>
      <c r="BG22" s="30"/>
      <c r="BH22" s="30"/>
      <c r="BI22" s="30"/>
      <c r="BJ22" s="30"/>
      <c r="BK22" s="30"/>
      <c r="BL22" s="30"/>
      <c r="BM22" s="30"/>
      <c r="BN22" s="30"/>
      <c r="BO22" s="30"/>
      <c r="BP22" s="30"/>
      <c r="BQ22" s="30"/>
      <c r="BR22" s="30"/>
      <c r="BS22" s="30"/>
      <c r="BT22" s="30"/>
      <c r="BU22" s="30"/>
      <c r="BV22" s="30"/>
      <c r="BW22" s="30"/>
      <c r="BX22" s="30"/>
      <c r="BY22" s="30"/>
      <c r="BZ22" s="30"/>
      <c r="CA22" s="30"/>
      <c r="CB22" s="30"/>
      <c r="CC22" s="30"/>
      <c r="CD22" s="30"/>
      <c r="CE22" s="30"/>
      <c r="CF22" s="30"/>
      <c r="CG22" s="30"/>
      <c r="CH22" s="30"/>
      <c r="CI22" s="30"/>
      <c r="CJ22" s="30"/>
      <c r="CK22" s="30"/>
      <c r="CL22" s="30"/>
      <c r="CM22" s="30"/>
      <c r="CN22" s="30"/>
      <c r="CO22" s="30"/>
      <c r="CP22" s="30"/>
      <c r="CQ22" s="30"/>
      <c r="CR22" s="30"/>
      <c r="CS22" s="30"/>
      <c r="CT22" s="30"/>
      <c r="CU22" s="30"/>
      <c r="CV22" s="30"/>
      <c r="CW22" s="30"/>
      <c r="CX22" s="30"/>
      <c r="CY22" s="30"/>
      <c r="CZ22" s="30"/>
      <c r="DA22" s="30"/>
      <c r="DB22" s="30"/>
      <c r="DC22" s="30"/>
      <c r="DD22" s="30"/>
      <c r="DE22" s="30"/>
    </row>
    <row r="23" spans="1:109" s="29" customFormat="1" ht="59.25" customHeight="1" x14ac:dyDescent="0.3">
      <c r="A23" s="15" t="s">
        <v>1281</v>
      </c>
      <c r="B23" s="10" t="s">
        <v>1288</v>
      </c>
      <c r="C23" s="7">
        <v>2025</v>
      </c>
      <c r="D23" s="15" t="s">
        <v>61</v>
      </c>
      <c r="E23" s="7">
        <v>0</v>
      </c>
      <c r="F23" s="1" t="str">
        <f t="shared" si="1"/>
        <v>Moenks, N.</v>
      </c>
      <c r="G23" s="15" t="s">
        <v>1294</v>
      </c>
      <c r="H23" s="28" t="s">
        <v>1301</v>
      </c>
      <c r="I23" s="1" t="s">
        <v>1738</v>
      </c>
      <c r="J23" s="1" t="s">
        <v>217</v>
      </c>
      <c r="K23" s="37" t="s">
        <v>1739</v>
      </c>
      <c r="L23" s="1" t="s">
        <v>1003</v>
      </c>
      <c r="M23" s="28" t="s">
        <v>1740</v>
      </c>
      <c r="N23" s="15" t="s">
        <v>1742</v>
      </c>
      <c r="O23" s="7">
        <v>4</v>
      </c>
      <c r="P23" s="1" t="s">
        <v>225</v>
      </c>
      <c r="Q23" s="15" t="s">
        <v>1741</v>
      </c>
      <c r="R23" s="28" t="s">
        <v>1743</v>
      </c>
      <c r="S23" s="21" t="s">
        <v>910</v>
      </c>
      <c r="T23" s="21" t="s">
        <v>1744</v>
      </c>
      <c r="U23" s="21"/>
      <c r="V23" s="21" t="s">
        <v>1003</v>
      </c>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30"/>
      <c r="BB23" s="30"/>
      <c r="BC23" s="30"/>
      <c r="BD23" s="30"/>
      <c r="BE23" s="30"/>
      <c r="BF23" s="30"/>
      <c r="BG23" s="30"/>
      <c r="BH23" s="30"/>
      <c r="BI23" s="30"/>
      <c r="BJ23" s="30"/>
      <c r="BK23" s="30"/>
      <c r="BL23" s="30"/>
      <c r="BM23" s="30"/>
      <c r="BN23" s="30"/>
      <c r="BO23" s="30"/>
      <c r="BP23" s="30"/>
      <c r="BQ23" s="30"/>
      <c r="BR23" s="30"/>
      <c r="BS23" s="30"/>
      <c r="BT23" s="30"/>
      <c r="BU23" s="30"/>
      <c r="BV23" s="30"/>
      <c r="BW23" s="30"/>
      <c r="BX23" s="30"/>
      <c r="BY23" s="30"/>
      <c r="BZ23" s="30"/>
      <c r="CA23" s="30"/>
      <c r="CB23" s="30"/>
      <c r="CC23" s="30"/>
      <c r="CD23" s="30"/>
      <c r="CE23" s="30"/>
      <c r="CF23" s="30"/>
      <c r="CG23" s="30"/>
      <c r="CH23" s="30"/>
      <c r="CI23" s="30"/>
      <c r="CJ23" s="30"/>
      <c r="CK23" s="30"/>
      <c r="CL23" s="30"/>
      <c r="CM23" s="30"/>
      <c r="CN23" s="30"/>
      <c r="CO23" s="30"/>
      <c r="CP23" s="30"/>
      <c r="CQ23" s="30"/>
      <c r="CR23" s="30"/>
      <c r="CS23" s="30"/>
      <c r="CT23" s="30"/>
      <c r="CU23" s="30"/>
      <c r="CV23" s="30"/>
      <c r="CW23" s="30"/>
      <c r="CX23" s="30"/>
      <c r="CY23" s="30"/>
      <c r="CZ23" s="30"/>
      <c r="DA23" s="30"/>
      <c r="DB23" s="30"/>
      <c r="DC23" s="30"/>
      <c r="DD23" s="30"/>
      <c r="DE23" s="30"/>
    </row>
    <row r="24" spans="1:109" s="29" customFormat="1" ht="59.25" customHeight="1" x14ac:dyDescent="0.3">
      <c r="A24" s="15" t="s">
        <v>1350</v>
      </c>
      <c r="B24" s="10" t="s">
        <v>1378</v>
      </c>
      <c r="C24" s="7">
        <v>2025</v>
      </c>
      <c r="D24" s="15" t="s">
        <v>61</v>
      </c>
      <c r="E24" s="7">
        <v>1</v>
      </c>
      <c r="F24" s="1" t="str">
        <f t="shared" si="1"/>
        <v>Ferreira, A.C.A.</v>
      </c>
      <c r="G24" s="15" t="s">
        <v>1384</v>
      </c>
      <c r="H24" s="28" t="s">
        <v>1367</v>
      </c>
      <c r="I24" s="1" t="s">
        <v>1745</v>
      </c>
      <c r="J24" s="1" t="s">
        <v>401</v>
      </c>
      <c r="K24" s="37" t="s">
        <v>880</v>
      </c>
      <c r="L24" s="1" t="s">
        <v>1748</v>
      </c>
      <c r="M24" s="28"/>
      <c r="N24" s="15" t="s">
        <v>1746</v>
      </c>
      <c r="O24" s="7">
        <v>4</v>
      </c>
      <c r="P24" s="1" t="s">
        <v>218</v>
      </c>
      <c r="Q24" s="15"/>
      <c r="R24" s="28" t="s">
        <v>1747</v>
      </c>
      <c r="S24" s="21"/>
      <c r="T24" s="21"/>
      <c r="U24" s="21"/>
      <c r="V24" s="21"/>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0"/>
      <c r="AU24" s="30"/>
      <c r="AV24" s="30"/>
      <c r="AW24" s="30"/>
      <c r="AX24" s="30"/>
      <c r="AY24" s="30"/>
      <c r="AZ24" s="30"/>
      <c r="BA24" s="30"/>
      <c r="BB24" s="30"/>
      <c r="BC24" s="30"/>
      <c r="BD24" s="30"/>
      <c r="BE24" s="30"/>
      <c r="BF24" s="30"/>
      <c r="BG24" s="30"/>
      <c r="BH24" s="30"/>
      <c r="BI24" s="30"/>
      <c r="BJ24" s="30"/>
      <c r="BK24" s="30"/>
      <c r="BL24" s="30"/>
      <c r="BM24" s="30"/>
      <c r="BN24" s="30"/>
      <c r="BO24" s="30"/>
      <c r="BP24" s="30"/>
      <c r="BQ24" s="30"/>
      <c r="BR24" s="30"/>
      <c r="BS24" s="30"/>
      <c r="BT24" s="30"/>
      <c r="BU24" s="30"/>
      <c r="BV24" s="30"/>
      <c r="BW24" s="30"/>
      <c r="BX24" s="30"/>
      <c r="BY24" s="30"/>
      <c r="BZ24" s="30"/>
      <c r="CA24" s="30"/>
      <c r="CB24" s="30"/>
      <c r="CC24" s="30"/>
      <c r="CD24" s="30"/>
      <c r="CE24" s="30"/>
      <c r="CF24" s="30"/>
      <c r="CG24" s="30"/>
      <c r="CH24" s="30"/>
      <c r="CI24" s="30"/>
      <c r="CJ24" s="30"/>
      <c r="CK24" s="30"/>
      <c r="CL24" s="30"/>
      <c r="CM24" s="30"/>
      <c r="CN24" s="30"/>
      <c r="CO24" s="30"/>
      <c r="CP24" s="30"/>
      <c r="CQ24" s="30"/>
      <c r="CR24" s="30"/>
      <c r="CS24" s="30"/>
      <c r="CT24" s="30"/>
      <c r="CU24" s="30"/>
      <c r="CV24" s="30"/>
      <c r="CW24" s="30"/>
      <c r="CX24" s="30"/>
      <c r="CY24" s="30"/>
      <c r="CZ24" s="30"/>
      <c r="DA24" s="30"/>
      <c r="DB24" s="30"/>
      <c r="DC24" s="30"/>
      <c r="DD24" s="30"/>
      <c r="DE24" s="30"/>
    </row>
    <row r="25" spans="1:109" s="29" customFormat="1" ht="59.25" customHeight="1" x14ac:dyDescent="0.3">
      <c r="A25" s="15" t="s">
        <v>1454</v>
      </c>
      <c r="B25" s="10" t="s">
        <v>1457</v>
      </c>
      <c r="C25" s="7">
        <v>2023</v>
      </c>
      <c r="D25" s="15" t="s">
        <v>58</v>
      </c>
      <c r="E25" s="7">
        <v>112</v>
      </c>
      <c r="F25" s="1" t="str">
        <f>IFERROR(LEFT(B25, FIND(";", B25) - 1), B25)</f>
        <v>Xiao, Y.</v>
      </c>
      <c r="G25" s="15" t="s">
        <v>1165</v>
      </c>
      <c r="H25" s="28" t="s">
        <v>1463</v>
      </c>
      <c r="I25" s="1" t="s">
        <v>1749</v>
      </c>
      <c r="J25" s="1"/>
      <c r="K25" s="37" t="s">
        <v>411</v>
      </c>
      <c r="L25" s="1" t="s">
        <v>1750</v>
      </c>
      <c r="M25" s="28"/>
      <c r="N25" s="15" t="s">
        <v>1751</v>
      </c>
      <c r="O25" s="7">
        <v>4</v>
      </c>
      <c r="P25" s="1" t="s">
        <v>218</v>
      </c>
      <c r="Q25" s="15"/>
      <c r="R25" s="28"/>
      <c r="S25" s="21"/>
      <c r="T25" s="21"/>
      <c r="U25" s="21"/>
      <c r="V25" s="21"/>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c r="AZ25" s="30"/>
      <c r="BA25" s="30"/>
      <c r="BB25" s="30"/>
      <c r="BC25" s="30"/>
      <c r="BD25" s="30"/>
      <c r="BE25" s="30"/>
      <c r="BF25" s="30"/>
      <c r="BG25" s="30"/>
      <c r="BH25" s="30"/>
      <c r="BI25" s="30"/>
      <c r="BJ25" s="30"/>
      <c r="BK25" s="30"/>
      <c r="BL25" s="30"/>
      <c r="BM25" s="30"/>
      <c r="BN25" s="30"/>
      <c r="BO25" s="30"/>
      <c r="BP25" s="30"/>
      <c r="BQ25" s="30"/>
      <c r="BR25" s="30"/>
      <c r="BS25" s="30"/>
      <c r="BT25" s="30"/>
      <c r="BU25" s="30"/>
      <c r="BV25" s="30"/>
      <c r="BW25" s="30"/>
      <c r="BX25" s="30"/>
      <c r="BY25" s="30"/>
      <c r="BZ25" s="30"/>
      <c r="CA25" s="30"/>
      <c r="CB25" s="30"/>
      <c r="CC25" s="30"/>
      <c r="CD25" s="30"/>
      <c r="CE25" s="30"/>
      <c r="CF25" s="30"/>
      <c r="CG25" s="30"/>
      <c r="CH25" s="30"/>
      <c r="CI25" s="30"/>
      <c r="CJ25" s="30"/>
      <c r="CK25" s="30"/>
      <c r="CL25" s="30"/>
      <c r="CM25" s="30"/>
      <c r="CN25" s="30"/>
      <c r="CO25" s="30"/>
      <c r="CP25" s="30"/>
      <c r="CQ25" s="30"/>
      <c r="CR25" s="30"/>
      <c r="CS25" s="30"/>
      <c r="CT25" s="30"/>
      <c r="CU25" s="30"/>
      <c r="CV25" s="30"/>
      <c r="CW25" s="30"/>
      <c r="CX25" s="30"/>
      <c r="CY25" s="30"/>
      <c r="CZ25" s="30"/>
      <c r="DA25" s="30"/>
      <c r="DB25" s="30"/>
      <c r="DC25" s="30"/>
      <c r="DD25" s="30"/>
      <c r="DE25" s="30"/>
    </row>
    <row r="26" spans="1:109" ht="58.95" customHeight="1" x14ac:dyDescent="0.3">
      <c r="A26" s="6"/>
      <c r="B26" s="10"/>
      <c r="C26" s="7"/>
      <c r="D26" s="13"/>
      <c r="E26" s="7"/>
      <c r="F26" s="1"/>
      <c r="G26" s="28"/>
      <c r="H26" s="15"/>
      <c r="I26" s="31"/>
      <c r="J26" s="7"/>
      <c r="K26" s="31"/>
      <c r="L26" s="31"/>
      <c r="M26" s="25"/>
      <c r="N26" s="25"/>
      <c r="O26" s="31"/>
      <c r="P26" s="31"/>
      <c r="Q26" s="25"/>
      <c r="R26" s="11"/>
    </row>
    <row r="27" spans="1:109" ht="58.95" customHeight="1" x14ac:dyDescent="0.3">
      <c r="A27" s="6"/>
      <c r="B27" s="10"/>
      <c r="C27" s="7"/>
      <c r="D27" s="13"/>
      <c r="E27" s="7"/>
      <c r="F27" s="1"/>
      <c r="G27" s="28"/>
      <c r="H27" s="15"/>
      <c r="I27" s="31"/>
      <c r="J27" s="7"/>
      <c r="K27" s="31"/>
      <c r="L27" s="31"/>
      <c r="M27" s="25"/>
      <c r="N27" s="25"/>
      <c r="O27" s="31"/>
      <c r="P27" s="31"/>
      <c r="Q27" s="25"/>
      <c r="R27" s="11"/>
    </row>
    <row r="28" spans="1:109" ht="58.95" customHeight="1" x14ac:dyDescent="0.3">
      <c r="A28" s="6"/>
      <c r="B28" s="10"/>
      <c r="C28" s="7"/>
      <c r="D28" s="13"/>
      <c r="E28" s="7"/>
      <c r="F28" s="1"/>
      <c r="G28" s="28"/>
      <c r="H28" s="15"/>
      <c r="I28" s="31"/>
      <c r="J28" s="7"/>
      <c r="K28" s="31"/>
      <c r="L28" s="31"/>
      <c r="M28" s="25"/>
      <c r="N28" s="25"/>
      <c r="O28" s="31"/>
      <c r="P28" s="31"/>
      <c r="Q28" s="25"/>
      <c r="R28" s="11"/>
    </row>
    <row r="29" spans="1:109" ht="58.95" customHeight="1" x14ac:dyDescent="0.3">
      <c r="A29" s="6"/>
      <c r="B29" s="10"/>
      <c r="C29" s="7"/>
      <c r="D29" s="13"/>
      <c r="E29" s="7"/>
      <c r="F29" s="1"/>
      <c r="G29" s="28"/>
      <c r="H29" s="15"/>
      <c r="I29" s="31"/>
      <c r="J29" s="7"/>
      <c r="K29" s="31"/>
      <c r="L29" s="31"/>
      <c r="M29" s="25"/>
      <c r="N29" s="25"/>
      <c r="O29" s="31"/>
      <c r="P29" s="31"/>
      <c r="Q29" s="25"/>
      <c r="R29" s="11"/>
    </row>
    <row r="30" spans="1:109" ht="58.95" customHeight="1" x14ac:dyDescent="0.3"/>
    <row r="31" spans="1:109" ht="58.95" customHeight="1" x14ac:dyDescent="0.3"/>
    <row r="32" spans="1:109" ht="58.95" customHeight="1" x14ac:dyDescent="0.3"/>
    <row r="33" ht="58.95" customHeight="1" x14ac:dyDescent="0.3"/>
    <row r="34" ht="58.95" customHeight="1" x14ac:dyDescent="0.3"/>
    <row r="35" ht="58.95" customHeight="1" x14ac:dyDescent="0.3"/>
    <row r="36" ht="58.95" customHeight="1" x14ac:dyDescent="0.3"/>
    <row r="37" ht="58.95" customHeight="1" x14ac:dyDescent="0.3"/>
    <row r="38" ht="58.95" customHeight="1" x14ac:dyDescent="0.3"/>
    <row r="39" ht="58.95" customHeight="1" x14ac:dyDescent="0.3"/>
    <row r="40" ht="58.95" customHeight="1" x14ac:dyDescent="0.3"/>
  </sheetData>
  <conditionalFormatting sqref="P2:P25">
    <cfRule type="cellIs" dxfId="0" priority="1" operator="equal">
      <formula>"Y"</formula>
    </cfRule>
  </conditionalFormatting>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2295A-9E6C-4AF6-ADBC-A80314BABD78}">
  <dimension ref="A3:B8"/>
  <sheetViews>
    <sheetView workbookViewId="0">
      <selection activeCell="B5" sqref="B5"/>
    </sheetView>
  </sheetViews>
  <sheetFormatPr defaultRowHeight="14.4" x14ac:dyDescent="0.3"/>
  <cols>
    <col min="1" max="1" width="12.33203125" bestFit="1" customWidth="1"/>
    <col min="2" max="2" width="12.21875" bestFit="1" customWidth="1"/>
  </cols>
  <sheetData>
    <row r="3" spans="1:2" x14ac:dyDescent="0.3">
      <c r="A3" s="3" t="s">
        <v>207</v>
      </c>
      <c r="B3" t="s">
        <v>208</v>
      </c>
    </row>
    <row r="4" spans="1:2" x14ac:dyDescent="0.3">
      <c r="A4" s="4">
        <v>2023</v>
      </c>
      <c r="B4">
        <v>1</v>
      </c>
    </row>
    <row r="5" spans="1:2" x14ac:dyDescent="0.3">
      <c r="A5" s="4">
        <v>2025</v>
      </c>
      <c r="B5">
        <v>18</v>
      </c>
    </row>
    <row r="6" spans="1:2" x14ac:dyDescent="0.3">
      <c r="A6" s="4">
        <v>2026</v>
      </c>
      <c r="B6">
        <v>5</v>
      </c>
    </row>
    <row r="7" spans="1:2" x14ac:dyDescent="0.3">
      <c r="A7" s="4" t="s">
        <v>372</v>
      </c>
    </row>
    <row r="8" spans="1:2" x14ac:dyDescent="0.3">
      <c r="A8" s="4" t="s">
        <v>206</v>
      </c>
      <c r="B8">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EN articles</vt:lpstr>
      <vt:lpstr>EN article-descriptive</vt:lpstr>
      <vt:lpstr>framework</vt:lpstr>
      <vt:lpstr>MGT articles</vt:lpstr>
      <vt:lpstr>MGT article-descriptive </vt:lpstr>
      <vt:lpstr>review articles</vt:lpstr>
      <vt:lpstr>review descriptive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Liu  Jingqi</dc:creator>
  <cp:keywords/>
  <dc:description/>
  <cp:lastModifiedBy>Liu  Jingqi</cp:lastModifiedBy>
  <cp:revision/>
  <dcterms:created xsi:type="dcterms:W3CDTF">2015-06-05T18:19:34Z</dcterms:created>
  <dcterms:modified xsi:type="dcterms:W3CDTF">2026-08-25T09:21:31Z</dcterms:modified>
  <cp:category/>
  <cp:contentStatus/>
</cp:coreProperties>
</file>